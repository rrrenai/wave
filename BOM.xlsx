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lor\Desktop\github\wave\"/>
    </mc:Choice>
  </mc:AlternateContent>
  <xr:revisionPtr revIDLastSave="0" documentId="13_ncr:1_{C81741D1-96F3-4AEB-8D85-5D8348FAFC4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Final" sheetId="1" r:id="rId1"/>
    <sheet name="Breakdown" sheetId="3" r:id="rId2"/>
    <sheet name="Copy of Fina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2" i="3"/>
  <c r="D4" i="3"/>
  <c r="D7" i="3"/>
  <c r="D8" i="3"/>
  <c r="D9" i="3"/>
  <c r="D10" i="3"/>
  <c r="D11" i="3"/>
  <c r="D12" i="3"/>
  <c r="D13" i="3"/>
  <c r="D15" i="3"/>
  <c r="D14" i="3"/>
  <c r="D5" i="3"/>
  <c r="D3" i="3"/>
  <c r="J29" i="1"/>
  <c r="J28" i="1"/>
  <c r="J30" i="1"/>
  <c r="J5" i="1"/>
  <c r="J6" i="1"/>
  <c r="J24" i="1"/>
  <c r="J25" i="1"/>
  <c r="J26" i="1"/>
  <c r="J27" i="1"/>
  <c r="N35" i="1"/>
  <c r="M35" i="1"/>
  <c r="H14" i="2"/>
  <c r="H13" i="2"/>
  <c r="H12" i="2"/>
  <c r="H11" i="2"/>
  <c r="H10" i="2"/>
  <c r="H9" i="2"/>
  <c r="H8" i="2"/>
  <c r="H7" i="2"/>
  <c r="H6" i="2"/>
  <c r="H5" i="2"/>
  <c r="H4" i="2"/>
  <c r="H3" i="2"/>
  <c r="H2" i="2"/>
  <c r="J23" i="1"/>
  <c r="J22" i="1"/>
  <c r="J21" i="1"/>
  <c r="J20" i="1"/>
  <c r="J19" i="1"/>
  <c r="J18" i="1"/>
  <c r="J17" i="1"/>
  <c r="J10" i="1"/>
  <c r="J16" i="1"/>
  <c r="J15" i="1"/>
  <c r="J14" i="1"/>
  <c r="J13" i="1"/>
  <c r="J12" i="1"/>
  <c r="J11" i="1"/>
  <c r="J9" i="1"/>
  <c r="J8" i="1"/>
  <c r="J7" i="1"/>
  <c r="J4" i="1"/>
  <c r="J3" i="1"/>
  <c r="J2" i="1"/>
  <c r="D16" i="3" l="1"/>
  <c r="J31" i="1"/>
  <c r="K2" i="2"/>
</calcChain>
</file>

<file path=xl/sharedStrings.xml><?xml version="1.0" encoding="utf-8"?>
<sst xmlns="http://schemas.openxmlformats.org/spreadsheetml/2006/main" count="179" uniqueCount="101">
  <si>
    <t>Item</t>
  </si>
  <si>
    <t>Purpose</t>
  </si>
  <si>
    <t>Part Name</t>
  </si>
  <si>
    <t>Supplier</t>
  </si>
  <si>
    <t>Source</t>
  </si>
  <si>
    <t>Alternative</t>
  </si>
  <si>
    <t xml:space="preserve"> Price </t>
  </si>
  <si>
    <t>Quantity</t>
  </si>
  <si>
    <t>Subtotal</t>
  </si>
  <si>
    <t>Total Price</t>
  </si>
  <si>
    <t>Ear cup / case</t>
  </si>
  <si>
    <t>Comfort</t>
  </si>
  <si>
    <t>Printing on print Legion + shipping cost</t>
  </si>
  <si>
    <t>#print-legion</t>
  </si>
  <si>
    <t>Head band</t>
  </si>
  <si>
    <t>Bluetooth</t>
  </si>
  <si>
    <t>Bluetooth 5.0 Audio Receiver</t>
  </si>
  <si>
    <t>Aliexpress</t>
  </si>
  <si>
    <t>https://www.aliexpress.us/item/3256805886601588.html?spm=a2g0o.productlist.main.1.248a6de7oIQOLn&amp;aem_p4p_detail=20250710195255368974960293800000713203&amp;algo_pvid=dc011ad8-a08f-4f72-862c-26b41f4338eb&amp;algo_exp_id=dc011ad8-a08f-4f72-862c-26b41f4338eb-0&amp;pdp_ext_f=%7B%22order%22%3A%22157%22%2C%22eval%22%3A%221%22%7D&amp;pdp_npi=4%40dis%21USD%211.79%211.79%21%21%2112.78%2112.78%21%402101c72a17522023750811474ef3b5%2112000035603649874%21sea%21US%216406714679%21X&amp;curPageLogUid=DfJk5T3L4eWY&amp;utparam-url=scene%3Asearch%7Cquery_from%3A&amp;search_p4p_id=20250710195255368974960293800000713203_1</t>
  </si>
  <si>
    <t>Aliexpress shipping</t>
  </si>
  <si>
    <t>Aliexpress tax</t>
  </si>
  <si>
    <t>Cushion / seal material</t>
  </si>
  <si>
    <t>Amazon</t>
  </si>
  <si>
    <t>LiPo</t>
  </si>
  <si>
    <t>LP603449</t>
  </si>
  <si>
    <t>https://a.co/d/85SM4hH</t>
  </si>
  <si>
    <t>Sound amp</t>
  </si>
  <si>
    <t>Boost sound / bass</t>
  </si>
  <si>
    <t xml:space="preserve">PAM8403 </t>
  </si>
  <si>
    <t>https://www.amazon.com/PAM8403-Stereo-Amplifier-Control-Potentiometer/dp/B07N1268RY</t>
  </si>
  <si>
    <t>Tang Nano 9k</t>
  </si>
  <si>
    <t>Process mics</t>
  </si>
  <si>
    <t xml:space="preserve">GOWIN GW1NR-9 RISC-V </t>
  </si>
  <si>
    <t>https://a.co/d/abLnqeb</t>
  </si>
  <si>
    <t>Amazon Shipping / Handling</t>
  </si>
  <si>
    <t>Amazon Estimated Tax</t>
  </si>
  <si>
    <t>Audio driver for headphones</t>
  </si>
  <si>
    <t>Play audio</t>
  </si>
  <si>
    <t>HPD-50N25PR00-32</t>
  </si>
  <si>
    <t>Digikey</t>
  </si>
  <si>
    <t>https://www.digikey.com/en/products/detail/peerless-by-tymphany/HPD-50N25PR00-32/6211129</t>
  </si>
  <si>
    <t>https://www.amazon.com/dp/B0B3S2CYZS?ref_=cm_sw_r_cp_ud_dp_47YHT647GW0YA5WC0RF3_1</t>
  </si>
  <si>
    <t>Digikey Shipping</t>
  </si>
  <si>
    <t>Digikey Tarriff</t>
  </si>
  <si>
    <t>Charge Protection IC</t>
  </si>
  <si>
    <t>TP4056 or TPS75633</t>
  </si>
  <si>
    <t>Ebay</t>
  </si>
  <si>
    <t>https://www.ebay.com/itm/2-5-10PCS-TP4056-5V-1A-USB-18650-Lithium-Battery-Charger-Board-Protection-Module/132530522140?ssPageName=STRK%3AMEBIDX%3AIT&amp;var=431882811498&amp;_trksid=p2057872.m2749.l2649</t>
  </si>
  <si>
    <t>Ebay shipping</t>
  </si>
  <si>
    <t>Ebay tax</t>
  </si>
  <si>
    <t>Buttons</t>
  </si>
  <si>
    <t>volume &amp; bluetooth</t>
  </si>
  <si>
    <t>Have</t>
  </si>
  <si>
    <t>LED</t>
  </si>
  <si>
    <t>power indicator</t>
  </si>
  <si>
    <t>PCB (L + R)</t>
  </si>
  <si>
    <t>JCLPCB</t>
  </si>
  <si>
    <t>I2S Microphones</t>
  </si>
  <si>
    <t>Take audio input</t>
  </si>
  <si>
    <t>ICS-5200</t>
  </si>
  <si>
    <t>Mouser</t>
  </si>
  <si>
    <t>https://www.mouser.com/ProductDetail/TDK-InvenSense/ICS-52000?qs=u4fy%2FsgLU9PL4sQfWE4e7w%3D%3D</t>
  </si>
  <si>
    <t>https://www.digikey.ca/en/products/detail/tdk-invensense/ICS-52000/6221214</t>
  </si>
  <si>
    <t>Mouser shipping</t>
  </si>
  <si>
    <t>Raspberry Pi Zero 2 WH</t>
  </si>
  <si>
    <t>Run ML (quad core 64 processing)</t>
  </si>
  <si>
    <t xml:space="preserve">INMP441 </t>
  </si>
  <si>
    <t>https://www.aliexpress.us/item/3256807347494500.html?spm=a2g0o.productlist.main.8.36ae4332Ex29rE&amp;aem_p4p_detail=202506191858028171950547430150002762927&amp;algo_pvid=c32970b1-cce4-40ed-983e-0811946de0e6&amp;algo_exp_id=c32970b1-cce4-40ed-983e-0811946de0e6-7&amp;pdp_ext_f=%7B%22order%22%3A%22951%22%2C%22eval%22%3A%221%22%7D&amp;pdp_npi=4%40dis%21USD%212.91%212.21%21%21%2120.80%2115.79%21%402103146c17503846823593995e0951%2112000041188403861%21sea%21US%210%21ABX&amp;curPageLogUid=ueDX0rgzCpYM&amp;utparam-url=scene%3Asearch%7Cquery_from%3A&amp;search_p4p_id=202506191858028171950547430150002762927_2</t>
  </si>
  <si>
    <t>Battery</t>
  </si>
  <si>
    <t>power</t>
  </si>
  <si>
    <t xml:space="preserve">Lithium Polymer ion Battery </t>
  </si>
  <si>
    <t>https://a.co/d/7bSCAC6</t>
  </si>
  <si>
    <t>BC127</t>
  </si>
  <si>
    <t>https://www.aliexpress.us/item/3256806614332934.html?spm=a2g0o.productlist.main.6.7450rsdnrsdngm&amp;algo_pvid=da2905ae-8d8b-4794-ba49-856f1dba9516&amp;algo_exp_id=da2905ae-8d8b-4794-ba49-856f1dba9516-5&amp;pdp_ext_f=%7B%22order%22%3A%22382%22%2C%22eval%22%3A%221%22%7D&amp;pdp_npi=4%40dis%21USD%215.60%211.99%21%21%215.60%211.99%21%402101efeb17526878790863294e62ea%2112000038350568132%21sea%21US%216406714679%21X&amp;curPageLogUid=QVPGSi1RDw26&amp;utparam-url=scene%3Asearch%7Cquery_from%3A</t>
  </si>
  <si>
    <t>https://www.aliexpress.us/item/3256808031709894.html?spm=a2g0o.productlist.main.1.71e832351fiIDG&amp;aem_p4p_detail=202507161045564917973948945200000412843&amp;algo_pvid=842dfb16-b552-4d8d-aa45-90aca63cce24&amp;algo_exp_id=842dfb16-b552-4d8d-aa45-90aca63cce24-0&amp;pdp_ext_f=%7B%22order%22%3A%221545%22%2C%22eval%22%3A%221%22%7D&amp;pdp_npi=4%40dis%21USD%2112.06%211.99%21%21%2186.12%2114.17%21%40210313e917526879562015893ee102%2112000044269020516%21sea%21US%216406714679%21X&amp;curPageLogUid=Xwcx1zEqbODI&amp;utparam-url=scene%3Asearch%7Cquery_from%3A&amp;search_p4p_id=202507161045564917973948945200000412843_1</t>
  </si>
  <si>
    <t>https://www.aliexpress.us/item/3256807092800375.html?spm=a2g0o.productlist.main.2.5e3b7984FheaQB&amp;algo_pvid=754ddb2e-bfc6-458b-ab94-8d1badcef899&amp;algo_exp_id=754ddb2e-bfc6-458b-ab94-8d1badcef899-1&amp;pdp_ext_f=%7B%22order%22%3A%221085%22%2C%22eval%22%3A%221%22%7D&amp;pdp_npi=4%40dis%21USD%211.26%211.26%21%21%218.98%218.98%21%402103246617526881273863131e3ad3%2112000040044279475%21sea%21US%216406714679%21X&amp;curPageLogUid=XMJnStHTofKH&amp;utparam-url=scene%3Asearch%7Cquery_from%3A</t>
  </si>
  <si>
    <t>https://www.aliexpress.us/item/3256804387309562.html?spm=a2g0o.productlist.main.6.74e76702jMzghB&amp;algo_pvid=0ae04eac-79b6-4c6c-a6e4-420add69329c&amp;algo_exp_id=0ae04eac-79b6-4c6c-a6e4-420add69329c-5&amp;pdp_ext_f=%7B%22order%22%3A%2268%22%2C%22eval%22%3A%221%22%7D&amp;pdp_npi=4%40dis%21USD%2130.28%2118.17%21%21%2130.28%2118.17%21%402101c72a17526883252823551edd27%2112000029677568078%21sea%21US%216406714679%21X&amp;curPageLogUid=h2Y36Po4Hq6n&amp;utparam-url=scene%3Asearch%7Cquery_from%3A</t>
  </si>
  <si>
    <t>https://www.aliexpress.us/item/3256803400457978.html?spm=a2g0o.productlist.main.1.cab858c9xqYXMF&amp;aem_p4p_detail=20250716105429445921569888600000409844&amp;algo_pvid=bf1fbd4a-b71f-4301-b656-d9b42d39e2c3&amp;algo_exp_id=bf1fbd4a-b71f-4301-b656-d9b42d39e2c3-0&amp;pdp_ext_f=%7B%22order%22%3A%22314%22%2C%22eval%22%3A%221%22%7D&amp;pdp_npi=4%40dis%21USD%213.45%211.99%21%21%2124.66%2114.23%21%402101d9ef17526884695027781e9236%2112000027300251059%21sea%21US%216406714679%21X&amp;curPageLogUid=QXmu6GuvRLN5&amp;utparam-url=scene%3Asearch%7Cquery_from%3A&amp;search_p4p_id=20250716105429445921569888600000409844_1</t>
  </si>
  <si>
    <t>PCB?</t>
  </si>
  <si>
    <t>TOTAL</t>
  </si>
  <si>
    <t>https://www.aliexpress.com/item/2251832818063874.html?spm=a2g0o.cart.0.0.297438daBtEirI&amp;mp=1&amp;pdp_npi=5%40dis%21USD%21USD%201.74%21USD%201.74%21%21USD%201.74%21%21%21%402101c5b217541919338317516e2420%2167028833527%21ct%21US%216440441670%21%211%210</t>
  </si>
  <si>
    <t>1x24 female header</t>
  </si>
  <si>
    <t>JST socket</t>
  </si>
  <si>
    <t>https://www.aliexpress.com/item/3256806836296359.html?spm=a2g0o.cart.0.0.297438daBtEirI&amp;mp=1&amp;pdp_npi=5%40dis%21USD%21USD%203.31%21USD%203.14%21%21USD%203.14%21%21%21%402101c5b217541919338317516e2420%2112000039111598032%21ct%21US%216440441670%21%211%210</t>
  </si>
  <si>
    <t>JST Housing</t>
  </si>
  <si>
    <t>https://www.aliexpress.com/item/3256804769340392.html?spm=a2g0o.cart.0.0.297438daBtEirI&amp;mp=1&amp;pdp_npi=5%40dis%21USD%21USD%201.43%21USD%201.37%21%21USD%201.37%21%21%21%402101c5b217541919338317516e2420%2112000031146362163%21ct%21US%216440441670%21%211%210</t>
  </si>
  <si>
    <t>ceramic caps</t>
  </si>
  <si>
    <t>https://www.aliexpress.com/item/3256807448788129.html?spm=a2g0o.cart.0.0.297438daBtEirI&amp;mp=1&amp;pdp_npi=5%40dis%21USD%21USD%209.37%21USD%204.97%21%21USD%204.97%21%21%21%402101c5b217541919338317516e2420%2112000041588352537%21ct%21US%216440441670%21%211%210</t>
  </si>
  <si>
    <t>desoldering braid</t>
  </si>
  <si>
    <t>https://www.aliexpress.com/item/3256805212208632.html?mp=1&amp;pdp_npi=5%40dis%21USD%21USD%203.96%21USD%201.26%21%21USD%201.26%21%21%21%40210313e917541925084981266eb00c%2112000032915095972%21ct%21US%216440441670%21%211%210</t>
  </si>
  <si>
    <t>pam8403</t>
  </si>
  <si>
    <t>https://www.aliexpress.com/item/3256808555282957.html?mp=1&amp;pdp_npi=5%40dis%21USD%21USD%202.95%21USD%201.33%21%21USD%201.33%21%21%21%40210313e917541927902256891eb00c%2112000046479126022%21ct%21US%216440441670%21%212%210</t>
  </si>
  <si>
    <t>https://www.aliexpress.com/item/3256803442947487.html?spm=a2g0o.cart.0.0.1d8538dahk6SJK&amp;mp=1&amp;pdp_npi=5%40dis%21USD%21USD%204.72%21USD%204.45%21%21USD%204.45%21%21%21%402101c59817541936558946630e2616%2112000026574238078%21ct%21US%216440441670%21%211%210</t>
  </si>
  <si>
    <t>screw terminal</t>
  </si>
  <si>
    <t>estimate</t>
  </si>
  <si>
    <t>actual</t>
  </si>
  <si>
    <t>Received</t>
  </si>
  <si>
    <t>PAM8403</t>
  </si>
  <si>
    <t>TPS75633</t>
  </si>
  <si>
    <t>GOWIN Tang Nano 9k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</si>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</sst>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  <font>
      <u/>
      <sz val="11"/>
      <color rgb="FF0000FF"/>
      <name val="Roboto"/>
    </font>
    <font>
      <u/>
      <sz val="11"/>
      <color rgb="FF0000FF"/>
      <name val="Roboto"/>
    </font>
    <font>
      <u/>
      <sz val="11"/>
      <color theme="10"/>
      <name val="Aptos Narrow"/>
    </font>
    <font>
      <u/>
      <sz val="11"/>
      <color rgb="FF467886"/>
      <name val="Arial"/>
    </font>
    <font>
      <u/>
      <sz val="11"/>
      <color rgb="FF0000FF"/>
      <name val="Arial"/>
    </font>
    <font>
      <u/>
      <sz val="11"/>
      <color theme="10"/>
      <name val="Aptos Narrow"/>
    </font>
    <font>
      <u/>
      <sz val="11"/>
      <color rgb="FF467886"/>
      <name val="Arial"/>
    </font>
    <font>
      <u/>
      <sz val="11"/>
      <color theme="10"/>
      <name val="Aptos Narrow"/>
    </font>
    <font>
      <u/>
      <sz val="11"/>
      <color rgb="FF0000FF"/>
      <name val="Aptos Narrow"/>
    </font>
    <font>
      <u/>
      <sz val="11"/>
      <color rgb="FF0000FF"/>
      <name val="Arial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6F8F9"/>
      </right>
      <top style="thin">
        <color rgb="FFF6F8F9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left" vertical="center"/>
    </xf>
    <xf numFmtId="44" fontId="5" fillId="0" borderId="3" xfId="0" applyNumberFormat="1" applyFont="1" applyBorder="1" applyAlignment="1">
      <alignment horizontal="left" vertical="center"/>
    </xf>
    <xf numFmtId="0" fontId="6" fillId="0" borderId="4" xfId="0" applyFont="1" applyBorder="1"/>
    <xf numFmtId="44" fontId="6" fillId="2" borderId="5" xfId="0" applyNumberFormat="1" applyFont="1" applyFill="1" applyBorder="1"/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4" fontId="8" fillId="0" borderId="7" xfId="0" applyNumberFormat="1" applyFont="1" applyBorder="1" applyAlignment="1">
      <alignment vertical="center"/>
    </xf>
    <xf numFmtId="44" fontId="6" fillId="0" borderId="8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44" fontId="6" fillId="0" borderId="10" xfId="0" applyNumberFormat="1" applyFont="1" applyBorder="1" applyAlignment="1">
      <alignment vertical="center"/>
    </xf>
    <xf numFmtId="44" fontId="6" fillId="0" borderId="1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44" fontId="6" fillId="0" borderId="7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44" fontId="8" fillId="0" borderId="10" xfId="0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7" fillId="0" borderId="0" xfId="0" applyFont="1"/>
    <xf numFmtId="44" fontId="6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44" fontId="8" fillId="0" borderId="0" xfId="0" applyNumberFormat="1" applyFont="1"/>
    <xf numFmtId="0" fontId="9" fillId="0" borderId="0" xfId="0" applyFont="1"/>
    <xf numFmtId="0" fontId="19" fillId="0" borderId="0" xfId="0" applyFont="1"/>
    <xf numFmtId="0" fontId="9" fillId="0" borderId="12" xfId="0" applyFont="1" applyBorder="1" applyAlignment="1">
      <alignment vertical="center"/>
    </xf>
    <xf numFmtId="44" fontId="6" fillId="0" borderId="13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44" fontId="8" fillId="0" borderId="14" xfId="0" applyNumberFormat="1" applyFont="1" applyBorder="1" applyAlignment="1">
      <alignment vertical="center"/>
    </xf>
    <xf numFmtId="0" fontId="6" fillId="0" borderId="15" xfId="0" applyFont="1" applyBorder="1"/>
    <xf numFmtId="0" fontId="0" fillId="0" borderId="15" xfId="0" applyBorder="1"/>
    <xf numFmtId="44" fontId="6" fillId="0" borderId="15" xfId="0" applyNumberFormat="1" applyFont="1" applyBorder="1"/>
    <xf numFmtId="44" fontId="6" fillId="2" borderId="15" xfId="0" applyNumberFormat="1" applyFont="1" applyFill="1" applyBorder="1"/>
    <xf numFmtId="0" fontId="0" fillId="0" borderId="10" xfId="0" applyBorder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7" xfId="0" applyBorder="1"/>
    <xf numFmtId="0" fontId="7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12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0" fillId="0" borderId="10" xfId="0" applyBorder="1"/>
    <xf numFmtId="0" fontId="10" fillId="0" borderId="10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44" fontId="5" fillId="0" borderId="0" xfId="0" applyNumberFormat="1" applyFont="1" applyAlignment="1">
      <alignment horizontal="left" vertical="center"/>
    </xf>
    <xf numFmtId="44" fontId="6" fillId="0" borderId="0" xfId="0" applyNumberFormat="1" applyFont="1" applyAlignment="1">
      <alignment vertical="center"/>
    </xf>
    <xf numFmtId="44" fontId="0" fillId="0" borderId="0" xfId="1" applyFont="1"/>
    <xf numFmtId="0" fontId="7" fillId="0" borderId="15" xfId="0" applyFont="1" applyBorder="1" applyAlignment="1">
      <alignment vertical="center"/>
    </xf>
    <xf numFmtId="44" fontId="20" fillId="0" borderId="0" xfId="0" applyNumberFormat="1" applyFont="1"/>
    <xf numFmtId="0" fontId="2" fillId="0" borderId="0" xfId="0" applyFont="1"/>
    <xf numFmtId="44" fontId="2" fillId="0" borderId="0" xfId="1" applyFont="1"/>
    <xf numFmtId="0" fontId="3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9" xfId="0" applyFont="1" applyBorder="1" applyAlignment="1">
      <alignment vertical="center"/>
    </xf>
    <xf numFmtId="14" fontId="7" fillId="0" borderId="17" xfId="0" applyNumberFormat="1" applyFont="1" applyBorder="1" applyAlignment="1">
      <alignment vertical="center"/>
    </xf>
    <xf numFmtId="14" fontId="7" fillId="0" borderId="18" xfId="0" applyNumberFormat="1" applyFont="1" applyBorder="1" applyAlignment="1">
      <alignment vertical="center"/>
    </xf>
    <xf numFmtId="14" fontId="0" fillId="0" borderId="0" xfId="0" applyNumberFormat="1"/>
    <xf numFmtId="14" fontId="2" fillId="0" borderId="0" xfId="0" applyNumberFormat="1" applyFont="1"/>
    <xf numFmtId="14" fontId="8" fillId="0" borderId="17" xfId="0" applyNumberFormat="1" applyFont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9" fillId="3" borderId="6" xfId="0" applyFont="1" applyFill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0" fillId="3" borderId="0" xfId="0" applyFill="1"/>
    <xf numFmtId="14" fontId="9" fillId="3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Border="1"/>
    <xf numFmtId="0" fontId="21" fillId="0" borderId="0" xfId="0" applyFont="1" applyFill="1"/>
    <xf numFmtId="44" fontId="21" fillId="0" borderId="0" xfId="1" applyFont="1"/>
    <xf numFmtId="0" fontId="1" fillId="0" borderId="6" xfId="0" applyFont="1" applyFill="1" applyBorder="1" applyAlignment="1">
      <alignment vertical="center"/>
    </xf>
    <xf numFmtId="44" fontId="1" fillId="0" borderId="0" xfId="0" applyNumberFormat="1" applyFont="1"/>
    <xf numFmtId="0" fontId="1" fillId="0" borderId="0" xfId="0" applyFont="1"/>
    <xf numFmtId="44" fontId="1" fillId="0" borderId="0" xfId="1" applyFont="1"/>
    <xf numFmtId="0" fontId="1" fillId="0" borderId="9" xfId="0" applyFont="1" applyFill="1" applyBorder="1" applyAlignment="1">
      <alignment vertical="center"/>
    </xf>
    <xf numFmtId="0" fontId="1" fillId="0" borderId="0" xfId="0" applyFont="1" applyFill="1"/>
    <xf numFmtId="0" fontId="1" fillId="0" borderId="20" xfId="0" applyFont="1" applyFill="1" applyBorder="1"/>
    <xf numFmtId="44" fontId="1" fillId="0" borderId="20" xfId="0" applyNumberFormat="1" applyFont="1" applyBorder="1"/>
    <xf numFmtId="0" fontId="1" fillId="0" borderId="20" xfId="0" applyFont="1" applyBorder="1"/>
    <xf numFmtId="44" fontId="1" fillId="0" borderId="20" xfId="1" applyFont="1" applyBorder="1"/>
  </cellXfs>
  <cellStyles count="2">
    <cellStyle name="Currency" xfId="1" builtinId="4"/>
    <cellStyle name="Normal" xfId="0" builtinId="0"/>
  </cellStyles>
  <dxfs count="14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top style="thick">
          <color auto="1"/>
        </top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inal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2" totalsRowCount="1" totalsRowBorderDxfId="10">
  <sortState xmlns:xlrd2="http://schemas.microsoft.com/office/spreadsheetml/2017/richdata2" ref="A2:J23">
    <sortCondition ref="E1:E23"/>
  </sortState>
  <tableColumns count="10">
    <tableColumn id="1" xr3:uid="{00000000-0010-0000-0000-000001000000}" name="Item"/>
    <tableColumn id="10" xr3:uid="{8411EE87-A7FA-4A63-9971-92EAD9869141}" name="Received" dataDxfId="9"/>
    <tableColumn id="2" xr3:uid="{00000000-0010-0000-0000-000002000000}" name="Purpose"/>
    <tableColumn id="3" xr3:uid="{00000000-0010-0000-0000-000003000000}" name="Part Name"/>
    <tableColumn id="4" xr3:uid="{00000000-0010-0000-0000-000004000000}" name="Supplier"/>
    <tableColumn id="5" xr3:uid="{00000000-0010-0000-0000-000005000000}" name="Source" dataDxfId="8"/>
    <tableColumn id="6" xr3:uid="{00000000-0010-0000-0000-000006000000}" name="Alternative"/>
    <tableColumn id="7" xr3:uid="{00000000-0010-0000-0000-000007000000}" name=" Price " dataDxfId="7"/>
    <tableColumn id="8" xr3:uid="{00000000-0010-0000-0000-000008000000}" name="Quantity"/>
    <tableColumn id="9" xr3:uid="{00000000-0010-0000-0000-000009000000}" name="Subtotal" dataDxfId="6" totalsRowDxfId="5"/>
  </tableColumns>
  <tableStyleInfo name="Fi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2DD011-63FF-41EA-AEA6-EE2C1F174D3B}" name="Table13" displayName="Table13" ref="A1:A17" totalsRowCount="1" headerRowDxfId="3" dataDxfId="1" totalsRowDxfId="2">
  <tableColumns count="1">
    <tableColumn id="2" xr3:uid="{7282F665-33F1-446A-A896-EB68CD6561D6}" name="Item" dataDxfId="4" totalsRowDxfId="0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B3S2CYZS?ref_=cm_sw_r_cp_ud_dp_47YHT647GW0YA5WC0RF3_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om/en/products/detail/peerless-by-tymphany/HPD-50N25PR00-32/6211129" TargetMode="External"/><Relationship Id="rId1" Type="http://schemas.openxmlformats.org/officeDocument/2006/relationships/hyperlink" Target="https://www.aliexpress.us/item/3256805886601588.html?spm=a2g0o.productlist.main.1.248a6de7oIQOLn&amp;aem_p4p_detail=20250710195255368974960293800000713203&amp;algo_pvid=dc011ad8-a08f-4f72-862c-26b41f4338eb&amp;algo_exp_id=dc011ad8-a08f-4f72-862c-26b41f4338eb-0&amp;pdp_ext_f=%7B%22order%22%3A%22157%22%2C%22eval%22%3A%221%22%7D&amp;pdp_npi=4%40dis%21USD%211.79%211.79%21%21%2112.78%2112.78%21%402101c72a17522023750811474ef3b5%2112000035603649874%21sea%21US%216406714679%21X&amp;curPageLogUid=DfJk5T3L4eWY&amp;utparam-url=scene%3Asearch%7Cquery_from%3A&amp;search_p4p_id=20250710195255368974960293800000713203_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a/en/products/detail/tdk-invensense/ICS-52000/6221214" TargetMode="External"/><Relationship Id="rId4" Type="http://schemas.openxmlformats.org/officeDocument/2006/relationships/hyperlink" Target="https://www.mouser.com/ProductDetail/TDK-InvenSense/ICS-52000?qs=u4fy%2FsgLU9PL4sQfWE4e7w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PAM8403-Stereo-Amplifier-Control-Potentiometer/dp/B07N1268RY" TargetMode="External"/><Relationship Id="rId2" Type="http://schemas.openxmlformats.org/officeDocument/2006/relationships/hyperlink" Target="https://www.amazon.com/dp/B0B3S2CYZS?ref_=cm_sw_r_cp_ud_dp_47YHT647GW0YA5WC0RF3_1" TargetMode="External"/><Relationship Id="rId1" Type="http://schemas.openxmlformats.org/officeDocument/2006/relationships/hyperlink" Target="https://www.digikey.com/en/products/detail/peerless-by-tymphany/HPD-50N25PR00-32/6211129" TargetMode="External"/><Relationship Id="rId6" Type="http://schemas.openxmlformats.org/officeDocument/2006/relationships/hyperlink" Target="https://a.co/d/85SM4hH" TargetMode="External"/><Relationship Id="rId5" Type="http://schemas.openxmlformats.org/officeDocument/2006/relationships/hyperlink" Target="https://www.ebay.com/itm/2-5-10PCS-TP4056-5V-1A-USB-18650-Lithium-Battery-Charger-Board-Protection-Module/132530522140?ssPageName=STRK%3AMEBIDX%3AIT&amp;var=431882811498&amp;_trksid=p2057872.m2749.l2649" TargetMode="External"/><Relationship Id="rId4" Type="http://schemas.openxmlformats.org/officeDocument/2006/relationships/hyperlink" Target="https://a.co/d/abLnq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pane ySplit="1" topLeftCell="A2" activePane="bottomLeft" state="frozen"/>
      <selection pane="bottomLeft" activeCell="G34" sqref="G34"/>
    </sheetView>
  </sheetViews>
  <sheetFormatPr defaultColWidth="12.6328125" defaultRowHeight="15" customHeight="1" x14ac:dyDescent="0.35"/>
  <cols>
    <col min="1" max="2" width="25.36328125" customWidth="1"/>
    <col min="3" max="3" width="18.08984375" customWidth="1"/>
    <col min="4" max="4" width="24" customWidth="1"/>
    <col min="5" max="5" width="14.08984375" customWidth="1"/>
    <col min="6" max="7" width="13.36328125" customWidth="1"/>
    <col min="8" max="8" width="15.26953125" customWidth="1"/>
    <col min="9" max="9" width="15.7265625" customWidth="1"/>
    <col min="10" max="11" width="17.08984375" customWidth="1"/>
    <col min="12" max="12" width="8.6328125" customWidth="1"/>
    <col min="13" max="13" width="9.7265625" customWidth="1"/>
    <col min="14" max="15" width="8.6328125" style="56" customWidth="1"/>
  </cols>
  <sheetData>
    <row r="1" spans="1:11" ht="14.25" customHeight="1" x14ac:dyDescent="0.35">
      <c r="A1" s="1" t="s">
        <v>0</v>
      </c>
      <c r="B1" s="61" t="s">
        <v>96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5" t="s">
        <v>8</v>
      </c>
      <c r="K1" s="54"/>
    </row>
    <row r="2" spans="1:11" ht="14.25" customHeight="1" x14ac:dyDescent="0.35">
      <c r="A2" s="8" t="s">
        <v>10</v>
      </c>
      <c r="B2" s="68"/>
      <c r="C2" s="9" t="s">
        <v>11</v>
      </c>
      <c r="D2" s="9" t="s">
        <v>12</v>
      </c>
      <c r="E2" s="9" t="s">
        <v>13</v>
      </c>
      <c r="F2" s="9"/>
      <c r="H2" s="10">
        <v>10</v>
      </c>
      <c r="I2" s="9"/>
      <c r="J2" s="11">
        <f t="shared" ref="J2:J30" si="0">H2*I2</f>
        <v>0</v>
      </c>
      <c r="K2" s="55"/>
    </row>
    <row r="3" spans="1:11" ht="14.25" customHeight="1" x14ac:dyDescent="0.35">
      <c r="A3" s="12" t="s">
        <v>14</v>
      </c>
      <c r="B3" s="63"/>
      <c r="C3" s="13" t="s">
        <v>11</v>
      </c>
      <c r="E3" s="13" t="s">
        <v>13</v>
      </c>
      <c r="F3" s="13"/>
      <c r="H3" s="14">
        <v>10</v>
      </c>
      <c r="I3" s="13"/>
      <c r="J3" s="15">
        <f t="shared" si="0"/>
        <v>0</v>
      </c>
      <c r="K3" s="55"/>
    </row>
    <row r="4" spans="1:11" ht="14.25" customHeight="1" x14ac:dyDescent="0.35">
      <c r="A4" s="73" t="s">
        <v>15</v>
      </c>
      <c r="B4" s="74"/>
      <c r="D4" s="16" t="s">
        <v>16</v>
      </c>
      <c r="E4" s="16" t="s">
        <v>17</v>
      </c>
      <c r="F4" s="17" t="s">
        <v>18</v>
      </c>
      <c r="H4" s="18">
        <v>1.79</v>
      </c>
      <c r="I4" s="9">
        <v>1</v>
      </c>
      <c r="J4" s="11">
        <f t="shared" si="0"/>
        <v>1.79</v>
      </c>
      <c r="K4" s="55"/>
    </row>
    <row r="5" spans="1:11" ht="14" customHeight="1" x14ac:dyDescent="0.35">
      <c r="A5" s="19" t="s">
        <v>19</v>
      </c>
      <c r="B5" s="64"/>
      <c r="C5" s="13"/>
      <c r="D5" s="13"/>
      <c r="E5" s="20" t="s">
        <v>17</v>
      </c>
      <c r="F5" s="13"/>
      <c r="G5" s="13"/>
      <c r="H5" s="21">
        <v>6.63</v>
      </c>
      <c r="I5" s="13">
        <v>1</v>
      </c>
      <c r="J5" s="15">
        <f t="shared" si="0"/>
        <v>6.63</v>
      </c>
      <c r="K5" s="55"/>
    </row>
    <row r="6" spans="1:11" ht="14.25" customHeight="1" x14ac:dyDescent="0.35">
      <c r="A6" s="22" t="s">
        <v>20</v>
      </c>
      <c r="B6" s="65"/>
      <c r="C6" s="9"/>
      <c r="D6" s="9"/>
      <c r="E6" s="16" t="s">
        <v>17</v>
      </c>
      <c r="F6" s="9"/>
      <c r="G6" s="9"/>
      <c r="H6" s="10">
        <v>4.42</v>
      </c>
      <c r="I6" s="9">
        <v>1</v>
      </c>
      <c r="J6" s="11">
        <f t="shared" si="0"/>
        <v>4.42</v>
      </c>
      <c r="K6" s="55"/>
    </row>
    <row r="7" spans="1:11" ht="14.25" customHeight="1" x14ac:dyDescent="0.35">
      <c r="A7" s="12" t="s">
        <v>21</v>
      </c>
      <c r="B7" s="69">
        <v>45885</v>
      </c>
      <c r="C7" s="13" t="s">
        <v>11</v>
      </c>
      <c r="E7" s="16" t="s">
        <v>17</v>
      </c>
      <c r="F7" s="52" t="s">
        <v>73</v>
      </c>
      <c r="H7" s="21">
        <v>5.26</v>
      </c>
      <c r="I7" s="13">
        <v>2</v>
      </c>
      <c r="J7" s="15">
        <f t="shared" si="0"/>
        <v>10.52</v>
      </c>
      <c r="K7" s="55"/>
    </row>
    <row r="8" spans="1:11" ht="14.25" customHeight="1" x14ac:dyDescent="0.35">
      <c r="A8" s="75" t="s">
        <v>23</v>
      </c>
      <c r="B8" s="80">
        <v>45897</v>
      </c>
      <c r="D8" s="45" t="s">
        <v>24</v>
      </c>
      <c r="E8" s="16" t="s">
        <v>17</v>
      </c>
      <c r="F8" s="17" t="s">
        <v>74</v>
      </c>
      <c r="H8" s="10">
        <v>4.95</v>
      </c>
      <c r="I8" s="16">
        <v>2</v>
      </c>
      <c r="J8" s="11">
        <f t="shared" si="0"/>
        <v>9.9</v>
      </c>
      <c r="K8" s="55"/>
    </row>
    <row r="9" spans="1:11" ht="14.25" customHeight="1" x14ac:dyDescent="0.35">
      <c r="A9" s="12" t="s">
        <v>26</v>
      </c>
      <c r="B9" s="69">
        <v>45885</v>
      </c>
      <c r="C9" s="13" t="s">
        <v>27</v>
      </c>
      <c r="D9" s="44" t="s">
        <v>28</v>
      </c>
      <c r="E9" s="16" t="s">
        <v>17</v>
      </c>
      <c r="F9" s="24" t="s">
        <v>75</v>
      </c>
      <c r="G9" s="24"/>
      <c r="H9" s="21">
        <v>1.26</v>
      </c>
      <c r="I9" s="13">
        <v>1</v>
      </c>
      <c r="J9" s="15">
        <f t="shared" si="0"/>
        <v>1.26</v>
      </c>
      <c r="K9" s="55"/>
    </row>
    <row r="10" spans="1:11" ht="14.25" customHeight="1" x14ac:dyDescent="0.35">
      <c r="A10" s="53" t="s">
        <v>44</v>
      </c>
      <c r="B10" s="72">
        <v>45885</v>
      </c>
      <c r="C10" s="46"/>
      <c r="D10" s="45" t="s">
        <v>45</v>
      </c>
      <c r="E10" s="16" t="s">
        <v>17</v>
      </c>
      <c r="F10" s="25" t="s">
        <v>77</v>
      </c>
      <c r="H10" s="10">
        <v>1.99</v>
      </c>
      <c r="I10" s="16">
        <v>1</v>
      </c>
      <c r="J10" s="11">
        <f t="shared" si="0"/>
        <v>1.99</v>
      </c>
      <c r="K10" s="55"/>
    </row>
    <row r="11" spans="1:11" ht="14.25" customHeight="1" x14ac:dyDescent="0.35">
      <c r="A11" s="12" t="s">
        <v>30</v>
      </c>
      <c r="B11" s="69">
        <v>45885</v>
      </c>
      <c r="C11" s="13" t="s">
        <v>31</v>
      </c>
      <c r="D11" s="13" t="s">
        <v>32</v>
      </c>
      <c r="E11" s="20" t="s">
        <v>22</v>
      </c>
      <c r="F11" s="52" t="s">
        <v>76</v>
      </c>
      <c r="G11" s="51"/>
      <c r="H11" s="21">
        <v>18.170000000000002</v>
      </c>
      <c r="I11" s="13">
        <v>1</v>
      </c>
      <c r="J11" s="15">
        <f t="shared" si="0"/>
        <v>18.170000000000002</v>
      </c>
      <c r="K11" s="55"/>
    </row>
    <row r="12" spans="1:11" ht="14.25" customHeight="1" x14ac:dyDescent="0.35">
      <c r="A12" s="22" t="s">
        <v>34</v>
      </c>
      <c r="B12" s="65"/>
      <c r="C12" s="9"/>
      <c r="D12" s="9"/>
      <c r="E12" s="16" t="s">
        <v>22</v>
      </c>
      <c r="F12" s="9"/>
      <c r="G12" s="9"/>
      <c r="H12" s="10">
        <v>12.98</v>
      </c>
      <c r="I12" s="9"/>
      <c r="J12" s="11">
        <f t="shared" si="0"/>
        <v>0</v>
      </c>
      <c r="K12" s="55"/>
    </row>
    <row r="13" spans="1:11" ht="14.25" customHeight="1" x14ac:dyDescent="0.35">
      <c r="A13" s="19" t="s">
        <v>35</v>
      </c>
      <c r="B13" s="64"/>
      <c r="C13" s="13"/>
      <c r="D13" s="13"/>
      <c r="E13" s="20" t="s">
        <v>22</v>
      </c>
      <c r="F13" s="13"/>
      <c r="G13" s="13"/>
      <c r="H13" s="21">
        <v>9.11</v>
      </c>
      <c r="I13" s="13"/>
      <c r="J13" s="15">
        <f t="shared" si="0"/>
        <v>0</v>
      </c>
      <c r="K13" s="55"/>
    </row>
    <row r="14" spans="1:11" ht="14.25" customHeight="1" x14ac:dyDescent="0.35">
      <c r="A14" s="73" t="s">
        <v>36</v>
      </c>
      <c r="B14" s="76"/>
      <c r="C14" s="9" t="s">
        <v>37</v>
      </c>
      <c r="D14" s="48" t="s">
        <v>38</v>
      </c>
      <c r="E14" s="16" t="s">
        <v>39</v>
      </c>
      <c r="F14" s="49" t="s">
        <v>40</v>
      </c>
      <c r="G14" s="50" t="s">
        <v>41</v>
      </c>
      <c r="H14" s="18">
        <v>10.69</v>
      </c>
      <c r="I14" s="9">
        <v>2</v>
      </c>
      <c r="J14" s="11">
        <f t="shared" si="0"/>
        <v>21.38</v>
      </c>
      <c r="K14" s="55"/>
    </row>
    <row r="15" spans="1:11" ht="14.25" customHeight="1" x14ac:dyDescent="0.35">
      <c r="A15" s="19" t="s">
        <v>42</v>
      </c>
      <c r="B15" s="64"/>
      <c r="C15" s="13"/>
      <c r="D15" s="13"/>
      <c r="E15" s="20" t="s">
        <v>39</v>
      </c>
      <c r="F15" s="13"/>
      <c r="G15" s="13"/>
      <c r="H15" s="21">
        <v>6.99</v>
      </c>
      <c r="I15" s="13">
        <v>1</v>
      </c>
      <c r="J15" s="15">
        <f t="shared" si="0"/>
        <v>6.99</v>
      </c>
      <c r="K15" s="55"/>
    </row>
    <row r="16" spans="1:11" ht="14.25" customHeight="1" x14ac:dyDescent="0.35">
      <c r="A16" s="22" t="s">
        <v>43</v>
      </c>
      <c r="B16" s="66"/>
      <c r="C16" s="47"/>
      <c r="D16" s="9"/>
      <c r="E16" s="16" t="s">
        <v>39</v>
      </c>
      <c r="F16" s="9"/>
      <c r="G16" s="47"/>
      <c r="H16" s="10">
        <v>2.14</v>
      </c>
      <c r="I16" s="9">
        <v>1</v>
      </c>
      <c r="J16" s="11">
        <f t="shared" si="0"/>
        <v>2.14</v>
      </c>
      <c r="K16" s="55"/>
    </row>
    <row r="17" spans="1:14" ht="14.25" customHeight="1" x14ac:dyDescent="0.35">
      <c r="A17" s="19" t="s">
        <v>48</v>
      </c>
      <c r="B17" s="64"/>
      <c r="C17" s="13"/>
      <c r="D17" s="13"/>
      <c r="E17" s="20" t="s">
        <v>46</v>
      </c>
      <c r="F17" s="13"/>
      <c r="G17" s="13"/>
      <c r="H17" s="21"/>
      <c r="I17" s="13"/>
      <c r="J17" s="15">
        <f t="shared" si="0"/>
        <v>0</v>
      </c>
      <c r="K17" s="55"/>
    </row>
    <row r="18" spans="1:14" ht="14.25" customHeight="1" x14ac:dyDescent="0.35">
      <c r="A18" s="22" t="s">
        <v>49</v>
      </c>
      <c r="B18" s="65"/>
      <c r="C18" s="9"/>
      <c r="D18" s="9"/>
      <c r="E18" s="16" t="s">
        <v>46</v>
      </c>
      <c r="F18" s="9"/>
      <c r="G18" s="9"/>
      <c r="H18" s="10">
        <v>0.64</v>
      </c>
      <c r="I18" s="9">
        <v>1</v>
      </c>
      <c r="J18" s="11">
        <f t="shared" si="0"/>
        <v>0.64</v>
      </c>
      <c r="K18" s="55"/>
    </row>
    <row r="19" spans="1:14" ht="14.25" customHeight="1" x14ac:dyDescent="0.35">
      <c r="A19" s="12" t="s">
        <v>50</v>
      </c>
      <c r="B19" s="63"/>
      <c r="C19" s="13" t="s">
        <v>51</v>
      </c>
      <c r="E19" s="13" t="s">
        <v>52</v>
      </c>
      <c r="F19" s="13"/>
      <c r="H19" s="14">
        <v>5</v>
      </c>
      <c r="I19" s="13">
        <v>4</v>
      </c>
      <c r="J19" s="15">
        <f t="shared" si="0"/>
        <v>20</v>
      </c>
      <c r="K19" s="55"/>
    </row>
    <row r="20" spans="1:14" ht="14.25" customHeight="1" x14ac:dyDescent="0.35">
      <c r="A20" s="8" t="s">
        <v>53</v>
      </c>
      <c r="B20" s="62"/>
      <c r="C20" s="9" t="s">
        <v>54</v>
      </c>
      <c r="E20" s="9" t="s">
        <v>52</v>
      </c>
      <c r="F20" s="9"/>
      <c r="H20" s="10">
        <v>0</v>
      </c>
      <c r="I20" s="9">
        <v>2</v>
      </c>
      <c r="J20" s="11">
        <f t="shared" si="0"/>
        <v>0</v>
      </c>
      <c r="K20" s="55"/>
    </row>
    <row r="21" spans="1:14" ht="14.25" customHeight="1" x14ac:dyDescent="0.35">
      <c r="A21" s="77" t="s">
        <v>55</v>
      </c>
      <c r="B21" s="78"/>
      <c r="C21" s="13"/>
      <c r="D21" s="13"/>
      <c r="E21" s="13" t="s">
        <v>56</v>
      </c>
      <c r="F21" s="13"/>
      <c r="G21" s="13"/>
      <c r="H21" s="21">
        <v>8.27</v>
      </c>
      <c r="I21" s="13">
        <v>1</v>
      </c>
      <c r="J21" s="15">
        <f t="shared" si="0"/>
        <v>8.27</v>
      </c>
      <c r="K21" s="55"/>
    </row>
    <row r="22" spans="1:14" ht="14.25" customHeight="1" x14ac:dyDescent="0.35">
      <c r="A22" s="8" t="s">
        <v>57</v>
      </c>
      <c r="B22" s="68">
        <v>45872</v>
      </c>
      <c r="C22" s="9" t="s">
        <v>58</v>
      </c>
      <c r="D22" s="16" t="s">
        <v>59</v>
      </c>
      <c r="E22" s="16" t="s">
        <v>60</v>
      </c>
      <c r="F22" s="23" t="s">
        <v>61</v>
      </c>
      <c r="G22" s="23" t="s">
        <v>62</v>
      </c>
      <c r="H22" s="10">
        <v>2.84</v>
      </c>
      <c r="I22" s="9">
        <v>10</v>
      </c>
      <c r="J22" s="11">
        <f t="shared" si="0"/>
        <v>28.4</v>
      </c>
      <c r="K22" s="55"/>
    </row>
    <row r="23" spans="1:14" ht="14.25" customHeight="1" x14ac:dyDescent="0.35">
      <c r="A23" s="35" t="s">
        <v>63</v>
      </c>
      <c r="B23" s="67"/>
      <c r="C23" s="37"/>
      <c r="D23" s="37"/>
      <c r="E23" s="38" t="s">
        <v>60</v>
      </c>
      <c r="F23" s="37"/>
      <c r="G23" s="37"/>
      <c r="H23" s="39">
        <v>7.99</v>
      </c>
      <c r="I23" s="37">
        <v>1</v>
      </c>
      <c r="J23" s="36">
        <f t="shared" si="0"/>
        <v>7.99</v>
      </c>
      <c r="K23" s="55"/>
    </row>
    <row r="24" spans="1:14" ht="14.25" customHeight="1" x14ac:dyDescent="0.35">
      <c r="A24" t="s">
        <v>81</v>
      </c>
      <c r="B24" s="70">
        <v>45885</v>
      </c>
      <c r="E24" s="16" t="s">
        <v>17</v>
      </c>
      <c r="F24" s="26" t="s">
        <v>80</v>
      </c>
      <c r="H24" s="27">
        <v>1.74</v>
      </c>
      <c r="I24" s="37">
        <v>1</v>
      </c>
      <c r="J24" s="36">
        <f t="shared" si="0"/>
        <v>1.74</v>
      </c>
      <c r="K24" s="27"/>
    </row>
    <row r="25" spans="1:14" ht="14.25" customHeight="1" x14ac:dyDescent="0.35">
      <c r="A25" t="s">
        <v>82</v>
      </c>
      <c r="B25" s="70">
        <v>45885</v>
      </c>
      <c r="E25" s="16" t="s">
        <v>17</v>
      </c>
      <c r="F25" s="26" t="s">
        <v>83</v>
      </c>
      <c r="H25" s="27">
        <v>3.14</v>
      </c>
      <c r="I25" s="37">
        <v>1</v>
      </c>
      <c r="J25" s="36">
        <f t="shared" si="0"/>
        <v>3.14</v>
      </c>
      <c r="K25" s="27"/>
    </row>
    <row r="26" spans="1:14" ht="14.25" customHeight="1" x14ac:dyDescent="0.35">
      <c r="A26" s="79" t="s">
        <v>84</v>
      </c>
      <c r="B26" s="79"/>
      <c r="E26" s="16" t="s">
        <v>17</v>
      </c>
      <c r="F26" s="26" t="s">
        <v>85</v>
      </c>
      <c r="H26" s="27">
        <v>1.37</v>
      </c>
      <c r="I26" s="37">
        <v>1</v>
      </c>
      <c r="J26" s="36">
        <f t="shared" si="0"/>
        <v>1.37</v>
      </c>
      <c r="K26" s="27"/>
    </row>
    <row r="27" spans="1:14" ht="14.25" customHeight="1" x14ac:dyDescent="0.35">
      <c r="A27" t="s">
        <v>86</v>
      </c>
      <c r="B27" s="70">
        <v>45885</v>
      </c>
      <c r="E27" s="16" t="s">
        <v>17</v>
      </c>
      <c r="F27" s="26" t="s">
        <v>87</v>
      </c>
      <c r="H27" s="27">
        <v>4.97</v>
      </c>
      <c r="I27" s="37">
        <v>1</v>
      </c>
      <c r="J27" s="36">
        <f t="shared" si="0"/>
        <v>4.97</v>
      </c>
      <c r="K27" s="27"/>
    </row>
    <row r="28" spans="1:14" ht="14.25" customHeight="1" x14ac:dyDescent="0.35">
      <c r="A28" s="59" t="s">
        <v>90</v>
      </c>
      <c r="B28" s="71">
        <v>45885</v>
      </c>
      <c r="E28" s="16" t="s">
        <v>17</v>
      </c>
      <c r="F28" s="59" t="s">
        <v>91</v>
      </c>
      <c r="H28" s="58">
        <v>1.33</v>
      </c>
      <c r="I28" s="47">
        <v>2</v>
      </c>
      <c r="J28" s="36">
        <f t="shared" si="0"/>
        <v>2.66</v>
      </c>
      <c r="K28" s="27"/>
    </row>
    <row r="29" spans="1:14" ht="14.25" customHeight="1" x14ac:dyDescent="0.35">
      <c r="A29" s="59" t="s">
        <v>93</v>
      </c>
      <c r="B29" s="71">
        <v>45885</v>
      </c>
      <c r="E29" s="16" t="s">
        <v>17</v>
      </c>
      <c r="F29" s="59" t="s">
        <v>92</v>
      </c>
      <c r="H29" s="58">
        <v>4.45</v>
      </c>
      <c r="I29" s="47">
        <v>1</v>
      </c>
      <c r="J29" s="36">
        <f t="shared" si="0"/>
        <v>4.45</v>
      </c>
      <c r="K29" s="27"/>
    </row>
    <row r="30" spans="1:14" ht="14.25" customHeight="1" thickBot="1" x14ac:dyDescent="0.4">
      <c r="A30" s="59" t="s">
        <v>88</v>
      </c>
      <c r="B30" s="71">
        <v>45885</v>
      </c>
      <c r="E30" s="16" t="s">
        <v>17</v>
      </c>
      <c r="F30" s="59" t="s">
        <v>89</v>
      </c>
      <c r="H30" s="58">
        <v>1.26</v>
      </c>
      <c r="I30" s="47">
        <v>1</v>
      </c>
      <c r="J30" s="36">
        <f t="shared" si="0"/>
        <v>1.26</v>
      </c>
      <c r="K30" s="27"/>
      <c r="M30" s="59" t="s">
        <v>94</v>
      </c>
      <c r="N30" s="60" t="s">
        <v>95</v>
      </c>
    </row>
    <row r="31" spans="1:14" ht="15" customHeight="1" thickTop="1" x14ac:dyDescent="0.35">
      <c r="A31" s="40" t="s">
        <v>9</v>
      </c>
      <c r="B31" s="40"/>
      <c r="C31" s="41"/>
      <c r="D31" s="41"/>
      <c r="E31" s="41"/>
      <c r="F31" s="41"/>
      <c r="G31" s="41"/>
      <c r="H31" s="42"/>
      <c r="I31" s="57"/>
      <c r="J31" s="43">
        <f>SUBTOTAL(109,J2:J30)</f>
        <v>170.07999999999998</v>
      </c>
      <c r="L31" t="s">
        <v>17</v>
      </c>
      <c r="M31" s="56">
        <v>76.77</v>
      </c>
      <c r="N31" s="56">
        <v>84.09</v>
      </c>
    </row>
    <row r="32" spans="1:14" ht="14.25" customHeight="1" x14ac:dyDescent="0.35">
      <c r="J32" s="58"/>
      <c r="K32" s="27"/>
      <c r="L32" t="s">
        <v>39</v>
      </c>
      <c r="M32" s="56">
        <v>30.51</v>
      </c>
      <c r="N32" s="56">
        <v>31.02</v>
      </c>
    </row>
    <row r="33" spans="6:14" ht="14.25" customHeight="1" x14ac:dyDescent="0.35">
      <c r="F33" s="26"/>
      <c r="H33" s="27"/>
      <c r="J33" s="27"/>
      <c r="K33" s="27"/>
      <c r="L33" t="s">
        <v>60</v>
      </c>
      <c r="M33" s="56">
        <v>36.39</v>
      </c>
      <c r="N33" s="56">
        <v>39.700000000000003</v>
      </c>
    </row>
    <row r="34" spans="6:14" ht="14.25" customHeight="1" x14ac:dyDescent="0.35">
      <c r="F34" s="26"/>
      <c r="H34" s="27"/>
      <c r="J34" s="27"/>
      <c r="K34" s="27"/>
      <c r="L34" t="s">
        <v>78</v>
      </c>
      <c r="M34" s="56">
        <v>8.27</v>
      </c>
      <c r="N34" s="56">
        <v>1.63</v>
      </c>
    </row>
    <row r="35" spans="6:14" ht="14.25" customHeight="1" x14ac:dyDescent="0.35">
      <c r="F35" s="26"/>
      <c r="H35" s="27"/>
      <c r="J35" s="27"/>
      <c r="K35" s="27"/>
      <c r="L35" t="s">
        <v>79</v>
      </c>
      <c r="M35" s="56">
        <f>SUM(M31:M34)</f>
        <v>151.94000000000003</v>
      </c>
      <c r="N35" s="56">
        <f>SUM(N31:N34)</f>
        <v>156.44</v>
      </c>
    </row>
    <row r="36" spans="6:14" ht="14.25" customHeight="1" x14ac:dyDescent="0.35">
      <c r="F36" s="26"/>
      <c r="H36" s="27"/>
      <c r="J36" s="27"/>
      <c r="K36" s="27"/>
    </row>
    <row r="37" spans="6:14" ht="14.25" customHeight="1" x14ac:dyDescent="0.35">
      <c r="F37" s="26"/>
      <c r="H37" s="27"/>
      <c r="J37" s="27"/>
      <c r="K37" s="27"/>
    </row>
    <row r="38" spans="6:14" ht="14.25" customHeight="1" x14ac:dyDescent="0.35">
      <c r="F38" s="26"/>
      <c r="H38" s="27"/>
      <c r="J38" s="27"/>
      <c r="K38" s="27"/>
    </row>
    <row r="39" spans="6:14" ht="14.25" customHeight="1" x14ac:dyDescent="0.35">
      <c r="F39" s="26"/>
      <c r="H39" s="27"/>
      <c r="J39" s="27"/>
      <c r="K39" s="27"/>
    </row>
    <row r="40" spans="6:14" ht="14.25" customHeight="1" x14ac:dyDescent="0.35">
      <c r="F40" s="26"/>
      <c r="H40" s="27"/>
      <c r="J40" s="27"/>
      <c r="K40" s="27"/>
    </row>
    <row r="41" spans="6:14" ht="14.25" customHeight="1" x14ac:dyDescent="0.35">
      <c r="F41" s="26"/>
      <c r="H41" s="27"/>
      <c r="J41" s="27"/>
      <c r="K41" s="27"/>
    </row>
    <row r="42" spans="6:14" ht="14.25" customHeight="1" x14ac:dyDescent="0.35">
      <c r="F42" s="26"/>
      <c r="H42" s="27"/>
      <c r="J42" s="27"/>
      <c r="K42" s="27"/>
    </row>
    <row r="43" spans="6:14" ht="14.25" customHeight="1" x14ac:dyDescent="0.35">
      <c r="F43" s="26"/>
      <c r="H43" s="27"/>
      <c r="J43" s="27"/>
      <c r="K43" s="27"/>
    </row>
    <row r="44" spans="6:14" ht="14.25" customHeight="1" x14ac:dyDescent="0.35">
      <c r="F44" s="26"/>
      <c r="H44" s="27"/>
      <c r="J44" s="27"/>
      <c r="K44" s="27"/>
    </row>
    <row r="45" spans="6:14" ht="14.25" customHeight="1" x14ac:dyDescent="0.35">
      <c r="F45" s="26"/>
      <c r="H45" s="27"/>
      <c r="J45" s="27"/>
      <c r="K45" s="27"/>
    </row>
    <row r="46" spans="6:14" ht="14.25" customHeight="1" x14ac:dyDescent="0.35">
      <c r="F46" s="26"/>
      <c r="H46" s="27"/>
      <c r="J46" s="27"/>
      <c r="K46" s="27"/>
    </row>
    <row r="47" spans="6:14" ht="14.25" customHeight="1" x14ac:dyDescent="0.35">
      <c r="F47" s="26"/>
      <c r="H47" s="27"/>
      <c r="J47" s="27"/>
      <c r="K47" s="27"/>
    </row>
    <row r="48" spans="6:14" ht="14.25" customHeight="1" x14ac:dyDescent="0.35">
      <c r="F48" s="26"/>
      <c r="H48" s="27"/>
      <c r="J48" s="27"/>
      <c r="K48" s="27"/>
    </row>
    <row r="49" spans="6:11" ht="14.25" customHeight="1" x14ac:dyDescent="0.35">
      <c r="F49" s="26"/>
      <c r="H49" s="27"/>
      <c r="J49" s="27"/>
      <c r="K49" s="27"/>
    </row>
    <row r="50" spans="6:11" ht="14.25" customHeight="1" x14ac:dyDescent="0.35">
      <c r="F50" s="26"/>
      <c r="H50" s="27"/>
      <c r="J50" s="27"/>
      <c r="K50" s="27"/>
    </row>
    <row r="51" spans="6:11" ht="14.25" customHeight="1" x14ac:dyDescent="0.35">
      <c r="F51" s="26"/>
      <c r="H51" s="27"/>
      <c r="J51" s="27"/>
      <c r="K51" s="27"/>
    </row>
    <row r="52" spans="6:11" ht="14.25" customHeight="1" x14ac:dyDescent="0.35">
      <c r="F52" s="26"/>
      <c r="H52" s="27"/>
      <c r="J52" s="27"/>
      <c r="K52" s="27"/>
    </row>
    <row r="53" spans="6:11" ht="14.25" customHeight="1" x14ac:dyDescent="0.35">
      <c r="F53" s="26"/>
      <c r="H53" s="27"/>
      <c r="J53" s="27"/>
      <c r="K53" s="27"/>
    </row>
    <row r="54" spans="6:11" ht="14.25" customHeight="1" x14ac:dyDescent="0.35">
      <c r="F54" s="26"/>
      <c r="H54" s="27"/>
      <c r="J54" s="27"/>
      <c r="K54" s="27"/>
    </row>
    <row r="55" spans="6:11" ht="14.25" customHeight="1" x14ac:dyDescent="0.35">
      <c r="F55" s="26"/>
      <c r="H55" s="27"/>
      <c r="J55" s="27"/>
      <c r="K55" s="27"/>
    </row>
    <row r="56" spans="6:11" ht="14.25" customHeight="1" x14ac:dyDescent="0.35">
      <c r="F56" s="26"/>
      <c r="H56" s="27"/>
      <c r="J56" s="27"/>
      <c r="K56" s="27"/>
    </row>
    <row r="57" spans="6:11" ht="14.25" customHeight="1" x14ac:dyDescent="0.35">
      <c r="F57" s="26"/>
      <c r="H57" s="27"/>
      <c r="J57" s="27"/>
      <c r="K57" s="27"/>
    </row>
    <row r="58" spans="6:11" ht="14.25" customHeight="1" x14ac:dyDescent="0.35">
      <c r="F58" s="26"/>
      <c r="H58" s="27"/>
      <c r="J58" s="27"/>
      <c r="K58" s="27"/>
    </row>
    <row r="59" spans="6:11" ht="14.25" customHeight="1" x14ac:dyDescent="0.35">
      <c r="F59" s="26"/>
      <c r="H59" s="27"/>
      <c r="J59" s="27"/>
      <c r="K59" s="27"/>
    </row>
    <row r="60" spans="6:11" ht="14.25" customHeight="1" x14ac:dyDescent="0.35">
      <c r="F60" s="26"/>
      <c r="H60" s="27"/>
      <c r="J60" s="27"/>
      <c r="K60" s="27"/>
    </row>
    <row r="61" spans="6:11" ht="14.25" customHeight="1" x14ac:dyDescent="0.35">
      <c r="F61" s="26"/>
      <c r="H61" s="27"/>
      <c r="J61" s="27"/>
      <c r="K61" s="27"/>
    </row>
    <row r="62" spans="6:11" ht="14.25" customHeight="1" x14ac:dyDescent="0.35">
      <c r="F62" s="26"/>
      <c r="H62" s="27"/>
      <c r="J62" s="27"/>
      <c r="K62" s="27"/>
    </row>
    <row r="63" spans="6:11" ht="14.25" customHeight="1" x14ac:dyDescent="0.35">
      <c r="F63" s="26"/>
      <c r="H63" s="27"/>
      <c r="J63" s="27"/>
      <c r="K63" s="27"/>
    </row>
    <row r="64" spans="6:11" ht="14.25" customHeight="1" x14ac:dyDescent="0.35">
      <c r="F64" s="26"/>
      <c r="H64" s="27"/>
      <c r="J64" s="27"/>
      <c r="K64" s="27"/>
    </row>
    <row r="65" spans="6:11" ht="14.25" customHeight="1" x14ac:dyDescent="0.35">
      <c r="F65" s="26"/>
      <c r="H65" s="27"/>
      <c r="J65" s="27"/>
      <c r="K65" s="27"/>
    </row>
    <row r="66" spans="6:11" ht="14.25" customHeight="1" x14ac:dyDescent="0.35">
      <c r="F66" s="26"/>
      <c r="H66" s="27"/>
      <c r="J66" s="27"/>
      <c r="K66" s="27"/>
    </row>
    <row r="67" spans="6:11" ht="14.25" customHeight="1" x14ac:dyDescent="0.35">
      <c r="F67" s="26"/>
      <c r="H67" s="27"/>
      <c r="J67" s="27"/>
      <c r="K67" s="27"/>
    </row>
    <row r="68" spans="6:11" ht="14.25" customHeight="1" x14ac:dyDescent="0.35">
      <c r="F68" s="26"/>
      <c r="H68" s="27"/>
      <c r="J68" s="27"/>
      <c r="K68" s="27"/>
    </row>
    <row r="69" spans="6:11" ht="14.25" customHeight="1" x14ac:dyDescent="0.35">
      <c r="F69" s="26"/>
      <c r="H69" s="27"/>
      <c r="J69" s="27"/>
      <c r="K69" s="27"/>
    </row>
    <row r="70" spans="6:11" ht="14.25" customHeight="1" x14ac:dyDescent="0.35">
      <c r="F70" s="26"/>
      <c r="H70" s="27"/>
      <c r="J70" s="27"/>
      <c r="K70" s="27"/>
    </row>
    <row r="71" spans="6:11" ht="14.25" customHeight="1" x14ac:dyDescent="0.35">
      <c r="F71" s="26"/>
      <c r="H71" s="27"/>
      <c r="J71" s="27"/>
      <c r="K71" s="27"/>
    </row>
    <row r="72" spans="6:11" ht="14.25" customHeight="1" x14ac:dyDescent="0.35">
      <c r="F72" s="26"/>
      <c r="H72" s="27"/>
      <c r="J72" s="27"/>
      <c r="K72" s="27"/>
    </row>
    <row r="73" spans="6:11" ht="14.25" customHeight="1" x14ac:dyDescent="0.35">
      <c r="F73" s="26"/>
      <c r="H73" s="27"/>
      <c r="J73" s="27"/>
      <c r="K73" s="27"/>
    </row>
    <row r="74" spans="6:11" ht="14.25" customHeight="1" x14ac:dyDescent="0.35">
      <c r="F74" s="26"/>
      <c r="H74" s="27"/>
      <c r="J74" s="27"/>
      <c r="K74" s="27"/>
    </row>
    <row r="75" spans="6:11" ht="14.25" customHeight="1" x14ac:dyDescent="0.35">
      <c r="F75" s="26"/>
      <c r="H75" s="27"/>
      <c r="J75" s="27"/>
      <c r="K75" s="27"/>
    </row>
    <row r="76" spans="6:11" ht="14.25" customHeight="1" x14ac:dyDescent="0.35">
      <c r="F76" s="26"/>
      <c r="H76" s="27"/>
      <c r="J76" s="27"/>
      <c r="K76" s="27"/>
    </row>
    <row r="77" spans="6:11" ht="14.25" customHeight="1" x14ac:dyDescent="0.35">
      <c r="F77" s="26"/>
      <c r="H77" s="27"/>
      <c r="J77" s="27"/>
      <c r="K77" s="27"/>
    </row>
    <row r="78" spans="6:11" ht="14.25" customHeight="1" x14ac:dyDescent="0.35">
      <c r="F78" s="26"/>
      <c r="H78" s="27"/>
      <c r="J78" s="27"/>
      <c r="K78" s="27"/>
    </row>
    <row r="79" spans="6:11" ht="14.25" customHeight="1" x14ac:dyDescent="0.35">
      <c r="F79" s="26"/>
      <c r="H79" s="27"/>
      <c r="J79" s="27"/>
      <c r="K79" s="27"/>
    </row>
    <row r="80" spans="6:11" ht="14.25" customHeight="1" x14ac:dyDescent="0.35">
      <c r="F80" s="26"/>
      <c r="H80" s="27"/>
      <c r="J80" s="27"/>
      <c r="K80" s="27"/>
    </row>
    <row r="81" spans="6:11" ht="14.25" customHeight="1" x14ac:dyDescent="0.35">
      <c r="F81" s="26"/>
      <c r="H81" s="27"/>
      <c r="J81" s="27"/>
      <c r="K81" s="27"/>
    </row>
    <row r="82" spans="6:11" ht="14.25" customHeight="1" x14ac:dyDescent="0.35">
      <c r="F82" s="26"/>
      <c r="H82" s="27"/>
      <c r="J82" s="27"/>
      <c r="K82" s="27"/>
    </row>
    <row r="83" spans="6:11" ht="14.25" customHeight="1" x14ac:dyDescent="0.35">
      <c r="F83" s="26"/>
      <c r="H83" s="27"/>
      <c r="J83" s="27"/>
      <c r="K83" s="27"/>
    </row>
    <row r="84" spans="6:11" ht="14.25" customHeight="1" x14ac:dyDescent="0.35">
      <c r="F84" s="26"/>
      <c r="H84" s="27"/>
      <c r="J84" s="27"/>
      <c r="K84" s="27"/>
    </row>
    <row r="85" spans="6:11" ht="14.25" customHeight="1" x14ac:dyDescent="0.35">
      <c r="F85" s="26"/>
      <c r="H85" s="27"/>
      <c r="J85" s="27"/>
      <c r="K85" s="27"/>
    </row>
    <row r="86" spans="6:11" ht="14.25" customHeight="1" x14ac:dyDescent="0.35">
      <c r="F86" s="26"/>
      <c r="H86" s="27"/>
      <c r="J86" s="27"/>
      <c r="K86" s="27"/>
    </row>
    <row r="87" spans="6:11" ht="14.25" customHeight="1" x14ac:dyDescent="0.35">
      <c r="F87" s="26"/>
      <c r="H87" s="27"/>
      <c r="J87" s="27"/>
      <c r="K87" s="27"/>
    </row>
    <row r="88" spans="6:11" ht="14.25" customHeight="1" x14ac:dyDescent="0.35">
      <c r="F88" s="26"/>
      <c r="H88" s="27"/>
      <c r="J88" s="27"/>
      <c r="K88" s="27"/>
    </row>
    <row r="89" spans="6:11" ht="14.25" customHeight="1" x14ac:dyDescent="0.35">
      <c r="F89" s="26"/>
      <c r="H89" s="27"/>
      <c r="J89" s="27"/>
      <c r="K89" s="27"/>
    </row>
    <row r="90" spans="6:11" ht="14.25" customHeight="1" x14ac:dyDescent="0.35">
      <c r="F90" s="26"/>
      <c r="H90" s="27"/>
      <c r="J90" s="27"/>
      <c r="K90" s="27"/>
    </row>
    <row r="91" spans="6:11" ht="14.25" customHeight="1" x14ac:dyDescent="0.35">
      <c r="F91" s="26"/>
      <c r="H91" s="27"/>
      <c r="J91" s="27"/>
      <c r="K91" s="27"/>
    </row>
    <row r="92" spans="6:11" ht="14.25" customHeight="1" x14ac:dyDescent="0.35">
      <c r="F92" s="26"/>
      <c r="H92" s="27"/>
      <c r="J92" s="27"/>
      <c r="K92" s="27"/>
    </row>
    <row r="93" spans="6:11" ht="14.25" customHeight="1" x14ac:dyDescent="0.35">
      <c r="F93" s="26"/>
      <c r="H93" s="27"/>
      <c r="J93" s="27"/>
      <c r="K93" s="27"/>
    </row>
    <row r="94" spans="6:11" ht="14.25" customHeight="1" x14ac:dyDescent="0.35">
      <c r="F94" s="26"/>
      <c r="H94" s="27"/>
      <c r="J94" s="27"/>
      <c r="K94" s="27"/>
    </row>
    <row r="95" spans="6:11" ht="14.25" customHeight="1" x14ac:dyDescent="0.35">
      <c r="F95" s="26"/>
      <c r="H95" s="27"/>
      <c r="J95" s="27"/>
      <c r="K95" s="27"/>
    </row>
    <row r="96" spans="6:11" ht="14.25" customHeight="1" x14ac:dyDescent="0.35">
      <c r="F96" s="26"/>
      <c r="H96" s="27"/>
      <c r="J96" s="27"/>
      <c r="K96" s="27"/>
    </row>
    <row r="97" spans="6:11" ht="14.25" customHeight="1" x14ac:dyDescent="0.35">
      <c r="F97" s="26"/>
      <c r="H97" s="27"/>
      <c r="J97" s="27"/>
      <c r="K97" s="27"/>
    </row>
    <row r="98" spans="6:11" ht="14.25" customHeight="1" x14ac:dyDescent="0.35">
      <c r="F98" s="26"/>
      <c r="H98" s="27"/>
      <c r="J98" s="27"/>
      <c r="K98" s="27"/>
    </row>
    <row r="99" spans="6:11" ht="14.25" customHeight="1" x14ac:dyDescent="0.35">
      <c r="F99" s="26"/>
      <c r="H99" s="27"/>
      <c r="J99" s="27"/>
      <c r="K99" s="27"/>
    </row>
    <row r="100" spans="6:11" ht="14.25" customHeight="1" x14ac:dyDescent="0.35">
      <c r="F100" s="26"/>
      <c r="H100" s="27"/>
      <c r="J100" s="27"/>
      <c r="K100" s="27"/>
    </row>
    <row r="101" spans="6:11" ht="14.25" customHeight="1" x14ac:dyDescent="0.35">
      <c r="F101" s="26"/>
      <c r="H101" s="27"/>
      <c r="J101" s="27"/>
      <c r="K101" s="27"/>
    </row>
    <row r="102" spans="6:11" ht="14.25" customHeight="1" x14ac:dyDescent="0.35">
      <c r="F102" s="26"/>
      <c r="H102" s="27"/>
      <c r="J102" s="27"/>
      <c r="K102" s="27"/>
    </row>
    <row r="103" spans="6:11" ht="14.25" customHeight="1" x14ac:dyDescent="0.35">
      <c r="F103" s="26"/>
      <c r="H103" s="27"/>
      <c r="J103" s="27"/>
      <c r="K103" s="27"/>
    </row>
    <row r="104" spans="6:11" ht="14.25" customHeight="1" x14ac:dyDescent="0.35">
      <c r="F104" s="26"/>
      <c r="H104" s="27"/>
      <c r="J104" s="27"/>
      <c r="K104" s="27"/>
    </row>
    <row r="105" spans="6:11" ht="14.25" customHeight="1" x14ac:dyDescent="0.35">
      <c r="F105" s="26"/>
      <c r="H105" s="27"/>
      <c r="J105" s="27"/>
      <c r="K105" s="27"/>
    </row>
    <row r="106" spans="6:11" ht="14.25" customHeight="1" x14ac:dyDescent="0.35">
      <c r="F106" s="26"/>
      <c r="H106" s="27"/>
      <c r="J106" s="27"/>
      <c r="K106" s="27"/>
    </row>
    <row r="107" spans="6:11" ht="14.25" customHeight="1" x14ac:dyDescent="0.35">
      <c r="F107" s="26"/>
      <c r="H107" s="27"/>
      <c r="J107" s="27"/>
      <c r="K107" s="27"/>
    </row>
    <row r="108" spans="6:11" ht="14.25" customHeight="1" x14ac:dyDescent="0.35">
      <c r="F108" s="26"/>
      <c r="H108" s="27"/>
      <c r="J108" s="27"/>
      <c r="K108" s="27"/>
    </row>
    <row r="109" spans="6:11" ht="14.25" customHeight="1" x14ac:dyDescent="0.35">
      <c r="F109" s="26"/>
      <c r="H109" s="27"/>
      <c r="J109" s="27"/>
      <c r="K109" s="27"/>
    </row>
    <row r="110" spans="6:11" ht="14.25" customHeight="1" x14ac:dyDescent="0.35">
      <c r="F110" s="26"/>
      <c r="H110" s="27"/>
      <c r="J110" s="27"/>
      <c r="K110" s="27"/>
    </row>
    <row r="111" spans="6:11" ht="14.25" customHeight="1" x14ac:dyDescent="0.35">
      <c r="F111" s="26"/>
      <c r="H111" s="27"/>
      <c r="J111" s="27"/>
      <c r="K111" s="27"/>
    </row>
    <row r="112" spans="6:11" ht="14.25" customHeight="1" x14ac:dyDescent="0.35">
      <c r="F112" s="26"/>
      <c r="H112" s="27"/>
      <c r="J112" s="27"/>
      <c r="K112" s="27"/>
    </row>
    <row r="113" spans="6:11" ht="14.25" customHeight="1" x14ac:dyDescent="0.35">
      <c r="F113" s="26"/>
      <c r="H113" s="27"/>
      <c r="J113" s="27"/>
      <c r="K113" s="27"/>
    </row>
    <row r="114" spans="6:11" ht="14.25" customHeight="1" x14ac:dyDescent="0.35">
      <c r="F114" s="26"/>
      <c r="H114" s="27"/>
      <c r="J114" s="27"/>
      <c r="K114" s="27"/>
    </row>
    <row r="115" spans="6:11" ht="14.25" customHeight="1" x14ac:dyDescent="0.35">
      <c r="F115" s="26"/>
      <c r="H115" s="27"/>
      <c r="J115" s="27"/>
      <c r="K115" s="27"/>
    </row>
    <row r="116" spans="6:11" ht="14.25" customHeight="1" x14ac:dyDescent="0.35">
      <c r="F116" s="26"/>
      <c r="H116" s="27"/>
      <c r="J116" s="27"/>
      <c r="K116" s="27"/>
    </row>
    <row r="117" spans="6:11" ht="14.25" customHeight="1" x14ac:dyDescent="0.35">
      <c r="F117" s="26"/>
      <c r="H117" s="27"/>
      <c r="J117" s="27"/>
      <c r="K117" s="27"/>
    </row>
    <row r="118" spans="6:11" ht="14.25" customHeight="1" x14ac:dyDescent="0.35">
      <c r="F118" s="26"/>
      <c r="H118" s="27"/>
      <c r="J118" s="27"/>
      <c r="K118" s="27"/>
    </row>
    <row r="119" spans="6:11" ht="14.25" customHeight="1" x14ac:dyDescent="0.35">
      <c r="F119" s="26"/>
      <c r="H119" s="27"/>
      <c r="J119" s="27"/>
      <c r="K119" s="27"/>
    </row>
    <row r="120" spans="6:11" ht="14.25" customHeight="1" x14ac:dyDescent="0.35">
      <c r="F120" s="26"/>
      <c r="H120" s="27"/>
      <c r="J120" s="27"/>
      <c r="K120" s="27"/>
    </row>
    <row r="121" spans="6:11" ht="14.25" customHeight="1" x14ac:dyDescent="0.35">
      <c r="F121" s="26"/>
      <c r="H121" s="27"/>
      <c r="J121" s="27"/>
      <c r="K121" s="27"/>
    </row>
    <row r="122" spans="6:11" ht="14.25" customHeight="1" x14ac:dyDescent="0.35">
      <c r="F122" s="26"/>
      <c r="H122" s="27"/>
      <c r="J122" s="27"/>
      <c r="K122" s="27"/>
    </row>
    <row r="123" spans="6:11" ht="14.25" customHeight="1" x14ac:dyDescent="0.35">
      <c r="F123" s="26"/>
      <c r="H123" s="27"/>
      <c r="J123" s="27"/>
      <c r="K123" s="27"/>
    </row>
    <row r="124" spans="6:11" ht="14.25" customHeight="1" x14ac:dyDescent="0.35">
      <c r="F124" s="26"/>
      <c r="H124" s="27"/>
      <c r="J124" s="27"/>
      <c r="K124" s="27"/>
    </row>
    <row r="125" spans="6:11" ht="14.25" customHeight="1" x14ac:dyDescent="0.35">
      <c r="F125" s="26"/>
      <c r="H125" s="27"/>
      <c r="J125" s="27"/>
      <c r="K125" s="27"/>
    </row>
    <row r="126" spans="6:11" ht="14.25" customHeight="1" x14ac:dyDescent="0.35">
      <c r="F126" s="26"/>
      <c r="H126" s="27"/>
      <c r="J126" s="27"/>
      <c r="K126" s="27"/>
    </row>
    <row r="127" spans="6:11" ht="14.25" customHeight="1" x14ac:dyDescent="0.35">
      <c r="F127" s="26"/>
      <c r="H127" s="27"/>
      <c r="J127" s="27"/>
      <c r="K127" s="27"/>
    </row>
    <row r="128" spans="6:11" ht="14.25" customHeight="1" x14ac:dyDescent="0.35">
      <c r="F128" s="26"/>
      <c r="H128" s="27"/>
      <c r="J128" s="27"/>
      <c r="K128" s="27"/>
    </row>
    <row r="129" spans="6:11" ht="14.25" customHeight="1" x14ac:dyDescent="0.35">
      <c r="F129" s="26"/>
      <c r="H129" s="27"/>
      <c r="J129" s="27"/>
      <c r="K129" s="27"/>
    </row>
    <row r="130" spans="6:11" ht="14.25" customHeight="1" x14ac:dyDescent="0.35">
      <c r="F130" s="26"/>
      <c r="H130" s="27"/>
      <c r="J130" s="27"/>
      <c r="K130" s="27"/>
    </row>
    <row r="131" spans="6:11" ht="14.25" customHeight="1" x14ac:dyDescent="0.35">
      <c r="F131" s="26"/>
      <c r="H131" s="27"/>
      <c r="J131" s="27"/>
      <c r="K131" s="27"/>
    </row>
    <row r="132" spans="6:11" ht="14.25" customHeight="1" x14ac:dyDescent="0.35">
      <c r="F132" s="26"/>
      <c r="H132" s="27"/>
      <c r="J132" s="27"/>
      <c r="K132" s="27"/>
    </row>
    <row r="133" spans="6:11" ht="14.25" customHeight="1" x14ac:dyDescent="0.35">
      <c r="F133" s="26"/>
      <c r="H133" s="27"/>
      <c r="J133" s="27"/>
      <c r="K133" s="27"/>
    </row>
    <row r="134" spans="6:11" ht="14.25" customHeight="1" x14ac:dyDescent="0.35">
      <c r="F134" s="26"/>
      <c r="H134" s="27"/>
      <c r="J134" s="27"/>
      <c r="K134" s="27"/>
    </row>
    <row r="135" spans="6:11" ht="14.25" customHeight="1" x14ac:dyDescent="0.35">
      <c r="F135" s="26"/>
      <c r="H135" s="27"/>
      <c r="J135" s="27"/>
      <c r="K135" s="27"/>
    </row>
    <row r="136" spans="6:11" ht="14.25" customHeight="1" x14ac:dyDescent="0.35">
      <c r="F136" s="26"/>
      <c r="H136" s="27"/>
      <c r="J136" s="27"/>
      <c r="K136" s="27"/>
    </row>
    <row r="137" spans="6:11" ht="14.25" customHeight="1" x14ac:dyDescent="0.35">
      <c r="F137" s="26"/>
      <c r="H137" s="27"/>
      <c r="J137" s="27"/>
      <c r="K137" s="27"/>
    </row>
    <row r="138" spans="6:11" ht="14.25" customHeight="1" x14ac:dyDescent="0.35">
      <c r="F138" s="26"/>
      <c r="H138" s="27"/>
      <c r="J138" s="27"/>
      <c r="K138" s="27"/>
    </row>
    <row r="139" spans="6:11" ht="14.25" customHeight="1" x14ac:dyDescent="0.35">
      <c r="F139" s="26"/>
      <c r="H139" s="27"/>
      <c r="J139" s="27"/>
      <c r="K139" s="27"/>
    </row>
    <row r="140" spans="6:11" ht="14.25" customHeight="1" x14ac:dyDescent="0.35">
      <c r="F140" s="26"/>
      <c r="H140" s="27"/>
      <c r="J140" s="27"/>
      <c r="K140" s="27"/>
    </row>
    <row r="141" spans="6:11" ht="14.25" customHeight="1" x14ac:dyDescent="0.35">
      <c r="F141" s="26"/>
      <c r="H141" s="27"/>
      <c r="J141" s="27"/>
      <c r="K141" s="27"/>
    </row>
    <row r="142" spans="6:11" ht="14.25" customHeight="1" x14ac:dyDescent="0.35">
      <c r="F142" s="26"/>
      <c r="H142" s="27"/>
      <c r="J142" s="27"/>
      <c r="K142" s="27"/>
    </row>
    <row r="143" spans="6:11" ht="14.25" customHeight="1" x14ac:dyDescent="0.35">
      <c r="F143" s="26"/>
      <c r="H143" s="27"/>
      <c r="J143" s="27"/>
      <c r="K143" s="27"/>
    </row>
    <row r="144" spans="6:11" ht="14.25" customHeight="1" x14ac:dyDescent="0.35">
      <c r="F144" s="26"/>
      <c r="H144" s="27"/>
      <c r="J144" s="27"/>
      <c r="K144" s="27"/>
    </row>
    <row r="145" spans="6:11" ht="14.25" customHeight="1" x14ac:dyDescent="0.35">
      <c r="F145" s="26"/>
      <c r="H145" s="27"/>
      <c r="J145" s="27"/>
      <c r="K145" s="27"/>
    </row>
    <row r="146" spans="6:11" ht="14.25" customHeight="1" x14ac:dyDescent="0.35">
      <c r="F146" s="26"/>
      <c r="H146" s="27"/>
      <c r="J146" s="27"/>
      <c r="K146" s="27"/>
    </row>
    <row r="147" spans="6:11" ht="14.25" customHeight="1" x14ac:dyDescent="0.35">
      <c r="F147" s="26"/>
      <c r="H147" s="27"/>
      <c r="J147" s="27"/>
      <c r="K147" s="27"/>
    </row>
    <row r="148" spans="6:11" ht="14.25" customHeight="1" x14ac:dyDescent="0.35">
      <c r="F148" s="26"/>
      <c r="H148" s="27"/>
      <c r="J148" s="27"/>
      <c r="K148" s="27"/>
    </row>
    <row r="149" spans="6:11" ht="14.25" customHeight="1" x14ac:dyDescent="0.35">
      <c r="F149" s="26"/>
      <c r="H149" s="27"/>
      <c r="J149" s="27"/>
      <c r="K149" s="27"/>
    </row>
    <row r="150" spans="6:11" ht="14.25" customHeight="1" x14ac:dyDescent="0.35">
      <c r="F150" s="26"/>
      <c r="H150" s="27"/>
      <c r="J150" s="27"/>
      <c r="K150" s="27"/>
    </row>
    <row r="151" spans="6:11" ht="14.25" customHeight="1" x14ac:dyDescent="0.35">
      <c r="F151" s="26"/>
      <c r="H151" s="27"/>
      <c r="J151" s="27"/>
      <c r="K151" s="27"/>
    </row>
    <row r="152" spans="6:11" ht="14.25" customHeight="1" x14ac:dyDescent="0.35">
      <c r="F152" s="26"/>
      <c r="H152" s="27"/>
      <c r="J152" s="27"/>
      <c r="K152" s="27"/>
    </row>
    <row r="153" spans="6:11" ht="14.25" customHeight="1" x14ac:dyDescent="0.35">
      <c r="F153" s="26"/>
      <c r="H153" s="27"/>
      <c r="J153" s="27"/>
      <c r="K153" s="27"/>
    </row>
    <row r="154" spans="6:11" ht="14.25" customHeight="1" x14ac:dyDescent="0.35">
      <c r="F154" s="26"/>
      <c r="H154" s="27"/>
      <c r="J154" s="27"/>
      <c r="K154" s="27"/>
    </row>
    <row r="155" spans="6:11" ht="14.25" customHeight="1" x14ac:dyDescent="0.35">
      <c r="F155" s="26"/>
      <c r="H155" s="27"/>
      <c r="J155" s="27"/>
      <c r="K155" s="27"/>
    </row>
    <row r="156" spans="6:11" ht="14.25" customHeight="1" x14ac:dyDescent="0.35">
      <c r="F156" s="26"/>
      <c r="H156" s="27"/>
      <c r="J156" s="27"/>
      <c r="K156" s="27"/>
    </row>
    <row r="157" spans="6:11" ht="14.25" customHeight="1" x14ac:dyDescent="0.35">
      <c r="F157" s="26"/>
      <c r="H157" s="27"/>
      <c r="J157" s="27"/>
      <c r="K157" s="27"/>
    </row>
    <row r="158" spans="6:11" ht="14.25" customHeight="1" x14ac:dyDescent="0.35">
      <c r="F158" s="26"/>
      <c r="H158" s="27"/>
      <c r="J158" s="27"/>
      <c r="K158" s="27"/>
    </row>
    <row r="159" spans="6:11" ht="14.25" customHeight="1" x14ac:dyDescent="0.35">
      <c r="F159" s="26"/>
      <c r="H159" s="27"/>
      <c r="J159" s="27"/>
      <c r="K159" s="27"/>
    </row>
    <row r="160" spans="6:11" ht="14.25" customHeight="1" x14ac:dyDescent="0.35">
      <c r="F160" s="26"/>
      <c r="H160" s="27"/>
      <c r="J160" s="27"/>
      <c r="K160" s="27"/>
    </row>
    <row r="161" spans="6:11" ht="14.25" customHeight="1" x14ac:dyDescent="0.35">
      <c r="F161" s="26"/>
      <c r="H161" s="27"/>
      <c r="J161" s="27"/>
      <c r="K161" s="27"/>
    </row>
    <row r="162" spans="6:11" ht="14.25" customHeight="1" x14ac:dyDescent="0.35">
      <c r="F162" s="26"/>
      <c r="H162" s="27"/>
      <c r="J162" s="27"/>
      <c r="K162" s="27"/>
    </row>
    <row r="163" spans="6:11" ht="14.25" customHeight="1" x14ac:dyDescent="0.35">
      <c r="F163" s="26"/>
      <c r="H163" s="27"/>
      <c r="J163" s="27"/>
      <c r="K163" s="27"/>
    </row>
    <row r="164" spans="6:11" ht="14.25" customHeight="1" x14ac:dyDescent="0.35">
      <c r="F164" s="26"/>
      <c r="H164" s="27"/>
      <c r="J164" s="27"/>
      <c r="K164" s="27"/>
    </row>
    <row r="165" spans="6:11" ht="14.25" customHeight="1" x14ac:dyDescent="0.35">
      <c r="F165" s="26"/>
      <c r="H165" s="27"/>
      <c r="J165" s="27"/>
      <c r="K165" s="27"/>
    </row>
    <row r="166" spans="6:11" ht="14.25" customHeight="1" x14ac:dyDescent="0.35">
      <c r="F166" s="26"/>
      <c r="H166" s="27"/>
      <c r="J166" s="27"/>
      <c r="K166" s="27"/>
    </row>
    <row r="167" spans="6:11" ht="14.25" customHeight="1" x14ac:dyDescent="0.35">
      <c r="F167" s="26"/>
      <c r="H167" s="27"/>
      <c r="J167" s="27"/>
      <c r="K167" s="27"/>
    </row>
    <row r="168" spans="6:11" ht="14.25" customHeight="1" x14ac:dyDescent="0.35">
      <c r="F168" s="26"/>
      <c r="H168" s="27"/>
      <c r="J168" s="27"/>
      <c r="K168" s="27"/>
    </row>
    <row r="169" spans="6:11" ht="14.25" customHeight="1" x14ac:dyDescent="0.35">
      <c r="F169" s="26"/>
      <c r="H169" s="27"/>
      <c r="J169" s="27"/>
      <c r="K169" s="27"/>
    </row>
    <row r="170" spans="6:11" ht="14.25" customHeight="1" x14ac:dyDescent="0.35">
      <c r="F170" s="26"/>
      <c r="H170" s="27"/>
      <c r="J170" s="27"/>
      <c r="K170" s="27"/>
    </row>
    <row r="171" spans="6:11" ht="14.25" customHeight="1" x14ac:dyDescent="0.35">
      <c r="F171" s="26"/>
      <c r="H171" s="27"/>
      <c r="J171" s="27"/>
      <c r="K171" s="27"/>
    </row>
    <row r="172" spans="6:11" ht="14.25" customHeight="1" x14ac:dyDescent="0.35">
      <c r="F172" s="26"/>
      <c r="H172" s="27"/>
      <c r="J172" s="27"/>
      <c r="K172" s="27"/>
    </row>
    <row r="173" spans="6:11" ht="14.25" customHeight="1" x14ac:dyDescent="0.35">
      <c r="F173" s="26"/>
      <c r="H173" s="27"/>
      <c r="J173" s="27"/>
      <c r="K173" s="27"/>
    </row>
    <row r="174" spans="6:11" ht="14.25" customHeight="1" x14ac:dyDescent="0.35">
      <c r="F174" s="26"/>
      <c r="H174" s="27"/>
      <c r="J174" s="27"/>
      <c r="K174" s="27"/>
    </row>
    <row r="175" spans="6:11" ht="14.25" customHeight="1" x14ac:dyDescent="0.35">
      <c r="F175" s="26"/>
      <c r="H175" s="27"/>
      <c r="J175" s="27"/>
      <c r="K175" s="27"/>
    </row>
    <row r="176" spans="6:11" ht="14.25" customHeight="1" x14ac:dyDescent="0.35">
      <c r="F176" s="26"/>
      <c r="H176" s="27"/>
      <c r="J176" s="27"/>
      <c r="K176" s="27"/>
    </row>
    <row r="177" spans="6:11" ht="14.25" customHeight="1" x14ac:dyDescent="0.35">
      <c r="F177" s="26"/>
      <c r="H177" s="27"/>
      <c r="J177" s="27"/>
      <c r="K177" s="27"/>
    </row>
    <row r="178" spans="6:11" ht="14.25" customHeight="1" x14ac:dyDescent="0.35">
      <c r="F178" s="26"/>
      <c r="H178" s="27"/>
      <c r="J178" s="27"/>
      <c r="K178" s="27"/>
    </row>
    <row r="179" spans="6:11" ht="14.25" customHeight="1" x14ac:dyDescent="0.35">
      <c r="F179" s="26"/>
      <c r="H179" s="27"/>
      <c r="J179" s="27"/>
      <c r="K179" s="27"/>
    </row>
    <row r="180" spans="6:11" ht="14.25" customHeight="1" x14ac:dyDescent="0.35">
      <c r="F180" s="26"/>
      <c r="H180" s="27"/>
      <c r="J180" s="27"/>
      <c r="K180" s="27"/>
    </row>
    <row r="181" spans="6:11" ht="14.25" customHeight="1" x14ac:dyDescent="0.35">
      <c r="F181" s="26"/>
      <c r="H181" s="27"/>
      <c r="J181" s="27"/>
      <c r="K181" s="27"/>
    </row>
    <row r="182" spans="6:11" ht="14.25" customHeight="1" x14ac:dyDescent="0.35">
      <c r="F182" s="26"/>
      <c r="H182" s="27"/>
      <c r="J182" s="27"/>
      <c r="K182" s="27"/>
    </row>
    <row r="183" spans="6:11" ht="14.25" customHeight="1" x14ac:dyDescent="0.35">
      <c r="F183" s="26"/>
      <c r="H183" s="27"/>
      <c r="J183" s="27"/>
      <c r="K183" s="27"/>
    </row>
    <row r="184" spans="6:11" ht="14.25" customHeight="1" x14ac:dyDescent="0.35">
      <c r="F184" s="26"/>
      <c r="H184" s="27"/>
      <c r="J184" s="27"/>
      <c r="K184" s="27"/>
    </row>
    <row r="185" spans="6:11" ht="14.25" customHeight="1" x14ac:dyDescent="0.35">
      <c r="F185" s="26"/>
      <c r="H185" s="27"/>
      <c r="J185" s="27"/>
      <c r="K185" s="27"/>
    </row>
    <row r="186" spans="6:11" ht="14.25" customHeight="1" x14ac:dyDescent="0.35">
      <c r="F186" s="26"/>
      <c r="H186" s="27"/>
      <c r="J186" s="27"/>
      <c r="K186" s="27"/>
    </row>
    <row r="187" spans="6:11" ht="14.25" customHeight="1" x14ac:dyDescent="0.35">
      <c r="F187" s="26"/>
      <c r="H187" s="27"/>
      <c r="J187" s="27"/>
      <c r="K187" s="27"/>
    </row>
    <row r="188" spans="6:11" ht="14.25" customHeight="1" x14ac:dyDescent="0.35">
      <c r="F188" s="26"/>
      <c r="H188" s="27"/>
      <c r="J188" s="27"/>
      <c r="K188" s="27"/>
    </row>
    <row r="189" spans="6:11" ht="14.25" customHeight="1" x14ac:dyDescent="0.35">
      <c r="F189" s="26"/>
      <c r="H189" s="27"/>
      <c r="J189" s="27"/>
      <c r="K189" s="27"/>
    </row>
    <row r="190" spans="6:11" ht="14.25" customHeight="1" x14ac:dyDescent="0.35">
      <c r="F190" s="26"/>
      <c r="H190" s="27"/>
      <c r="J190" s="27"/>
      <c r="K190" s="27"/>
    </row>
    <row r="191" spans="6:11" ht="14.25" customHeight="1" x14ac:dyDescent="0.35">
      <c r="F191" s="26"/>
      <c r="H191" s="27"/>
      <c r="J191" s="27"/>
      <c r="K191" s="27"/>
    </row>
    <row r="192" spans="6:11" ht="14.25" customHeight="1" x14ac:dyDescent="0.35">
      <c r="F192" s="26"/>
      <c r="H192" s="27"/>
      <c r="J192" s="27"/>
      <c r="K192" s="27"/>
    </row>
    <row r="193" spans="6:11" ht="14.25" customHeight="1" x14ac:dyDescent="0.35">
      <c r="F193" s="26"/>
      <c r="H193" s="27"/>
      <c r="J193" s="27"/>
      <c r="K193" s="27"/>
    </row>
    <row r="194" spans="6:11" ht="14.25" customHeight="1" x14ac:dyDescent="0.35">
      <c r="F194" s="26"/>
      <c r="H194" s="27"/>
      <c r="J194" s="27"/>
      <c r="K194" s="27"/>
    </row>
    <row r="195" spans="6:11" ht="14.25" customHeight="1" x14ac:dyDescent="0.35">
      <c r="F195" s="26"/>
      <c r="H195" s="27"/>
      <c r="J195" s="27"/>
      <c r="K195" s="27"/>
    </row>
    <row r="196" spans="6:11" ht="14.25" customHeight="1" x14ac:dyDescent="0.35">
      <c r="F196" s="26"/>
      <c r="H196" s="27"/>
      <c r="J196" s="27"/>
      <c r="K196" s="27"/>
    </row>
    <row r="197" spans="6:11" ht="14.25" customHeight="1" x14ac:dyDescent="0.35">
      <c r="F197" s="26"/>
      <c r="H197" s="27"/>
      <c r="J197" s="27"/>
      <c r="K197" s="27"/>
    </row>
    <row r="198" spans="6:11" ht="14.25" customHeight="1" x14ac:dyDescent="0.35">
      <c r="F198" s="26"/>
      <c r="H198" s="27"/>
      <c r="J198" s="27"/>
      <c r="K198" s="27"/>
    </row>
    <row r="199" spans="6:11" ht="14.25" customHeight="1" x14ac:dyDescent="0.35">
      <c r="F199" s="26"/>
      <c r="H199" s="27"/>
      <c r="J199" s="27"/>
      <c r="K199" s="27"/>
    </row>
    <row r="200" spans="6:11" ht="14.25" customHeight="1" x14ac:dyDescent="0.35">
      <c r="F200" s="26"/>
      <c r="H200" s="27"/>
      <c r="J200" s="27"/>
      <c r="K200" s="27"/>
    </row>
    <row r="201" spans="6:11" ht="14.25" customHeight="1" x14ac:dyDescent="0.35">
      <c r="F201" s="26"/>
      <c r="H201" s="27"/>
      <c r="J201" s="27"/>
      <c r="K201" s="27"/>
    </row>
    <row r="202" spans="6:11" ht="14.25" customHeight="1" x14ac:dyDescent="0.35">
      <c r="F202" s="26"/>
      <c r="H202" s="27"/>
      <c r="J202" s="27"/>
      <c r="K202" s="27"/>
    </row>
    <row r="203" spans="6:11" ht="14.25" customHeight="1" x14ac:dyDescent="0.35">
      <c r="F203" s="26"/>
      <c r="H203" s="27"/>
      <c r="J203" s="27"/>
      <c r="K203" s="27"/>
    </row>
    <row r="204" spans="6:11" ht="14.25" customHeight="1" x14ac:dyDescent="0.35">
      <c r="F204" s="26"/>
      <c r="H204" s="27"/>
      <c r="J204" s="27"/>
      <c r="K204" s="27"/>
    </row>
    <row r="205" spans="6:11" ht="14.25" customHeight="1" x14ac:dyDescent="0.35">
      <c r="F205" s="26"/>
      <c r="H205" s="27"/>
      <c r="J205" s="27"/>
      <c r="K205" s="27"/>
    </row>
    <row r="206" spans="6:11" ht="14.25" customHeight="1" x14ac:dyDescent="0.35">
      <c r="F206" s="26"/>
      <c r="H206" s="27"/>
      <c r="J206" s="27"/>
      <c r="K206" s="27"/>
    </row>
    <row r="207" spans="6:11" ht="14.25" customHeight="1" x14ac:dyDescent="0.35">
      <c r="F207" s="26"/>
      <c r="H207" s="27"/>
      <c r="J207" s="27"/>
      <c r="K207" s="27"/>
    </row>
    <row r="208" spans="6:11" ht="14.25" customHeight="1" x14ac:dyDescent="0.35">
      <c r="F208" s="26"/>
      <c r="H208" s="27"/>
      <c r="J208" s="27"/>
      <c r="K208" s="27"/>
    </row>
    <row r="209" spans="6:11" ht="14.25" customHeight="1" x14ac:dyDescent="0.35">
      <c r="F209" s="26"/>
      <c r="H209" s="27"/>
      <c r="J209" s="27"/>
      <c r="K209" s="27"/>
    </row>
    <row r="210" spans="6:11" ht="14.25" customHeight="1" x14ac:dyDescent="0.35">
      <c r="F210" s="26"/>
      <c r="H210" s="27"/>
      <c r="J210" s="27"/>
      <c r="K210" s="27"/>
    </row>
    <row r="211" spans="6:11" ht="14.25" customHeight="1" x14ac:dyDescent="0.35">
      <c r="F211" s="26"/>
      <c r="H211" s="27"/>
      <c r="J211" s="27"/>
      <c r="K211" s="27"/>
    </row>
    <row r="212" spans="6:11" ht="14.25" customHeight="1" x14ac:dyDescent="0.35">
      <c r="F212" s="26"/>
      <c r="H212" s="27"/>
      <c r="J212" s="27"/>
      <c r="K212" s="27"/>
    </row>
    <row r="213" spans="6:11" ht="14.25" customHeight="1" x14ac:dyDescent="0.35">
      <c r="F213" s="26"/>
      <c r="H213" s="27"/>
      <c r="J213" s="27"/>
      <c r="K213" s="27"/>
    </row>
    <row r="214" spans="6:11" ht="14.25" customHeight="1" x14ac:dyDescent="0.35">
      <c r="F214" s="26"/>
      <c r="H214" s="27"/>
      <c r="J214" s="27"/>
      <c r="K214" s="27"/>
    </row>
    <row r="215" spans="6:11" ht="14.25" customHeight="1" x14ac:dyDescent="0.35">
      <c r="F215" s="26"/>
      <c r="H215" s="27"/>
      <c r="J215" s="27"/>
      <c r="K215" s="27"/>
    </row>
    <row r="216" spans="6:11" ht="14.25" customHeight="1" x14ac:dyDescent="0.35">
      <c r="F216" s="26"/>
      <c r="H216" s="27"/>
      <c r="J216" s="27"/>
      <c r="K216" s="27"/>
    </row>
    <row r="217" spans="6:11" ht="14.25" customHeight="1" x14ac:dyDescent="0.35">
      <c r="F217" s="26"/>
      <c r="H217" s="27"/>
      <c r="J217" s="27"/>
      <c r="K217" s="27"/>
    </row>
    <row r="218" spans="6:11" ht="14.25" customHeight="1" x14ac:dyDescent="0.35">
      <c r="F218" s="26"/>
      <c r="H218" s="27"/>
      <c r="J218" s="27"/>
      <c r="K218" s="27"/>
    </row>
    <row r="219" spans="6:11" ht="14.25" customHeight="1" x14ac:dyDescent="0.35">
      <c r="F219" s="26"/>
      <c r="H219" s="27"/>
      <c r="J219" s="27"/>
      <c r="K219" s="27"/>
    </row>
    <row r="220" spans="6:11" ht="14.25" customHeight="1" x14ac:dyDescent="0.35">
      <c r="F220" s="26"/>
      <c r="H220" s="27"/>
      <c r="J220" s="27"/>
      <c r="K220" s="27"/>
    </row>
    <row r="221" spans="6:11" ht="14.25" customHeight="1" x14ac:dyDescent="0.35">
      <c r="F221" s="26"/>
      <c r="H221" s="27"/>
      <c r="J221" s="27"/>
      <c r="K221" s="27"/>
    </row>
    <row r="222" spans="6:11" ht="14.25" customHeight="1" x14ac:dyDescent="0.35">
      <c r="F222" s="26"/>
      <c r="H222" s="27"/>
      <c r="J222" s="27"/>
      <c r="K222" s="27"/>
    </row>
    <row r="223" spans="6:11" ht="14.25" customHeight="1" x14ac:dyDescent="0.35">
      <c r="F223" s="26"/>
      <c r="H223" s="27"/>
      <c r="J223" s="27"/>
      <c r="K223" s="27"/>
    </row>
    <row r="224" spans="6:11" ht="14.25" customHeight="1" x14ac:dyDescent="0.35">
      <c r="F224" s="26"/>
      <c r="H224" s="27"/>
      <c r="J224" s="27"/>
      <c r="K224" s="27"/>
    </row>
    <row r="225" spans="6:11" ht="14.25" customHeight="1" x14ac:dyDescent="0.35">
      <c r="F225" s="26"/>
      <c r="H225" s="27"/>
      <c r="J225" s="27"/>
      <c r="K225" s="27"/>
    </row>
    <row r="226" spans="6:11" ht="14.25" customHeight="1" x14ac:dyDescent="0.35">
      <c r="F226" s="26"/>
      <c r="H226" s="27"/>
      <c r="J226" s="27"/>
      <c r="K226" s="27"/>
    </row>
    <row r="227" spans="6:11" ht="14.25" customHeight="1" x14ac:dyDescent="0.35">
      <c r="F227" s="26"/>
      <c r="H227" s="27"/>
      <c r="J227" s="27"/>
      <c r="K227" s="27"/>
    </row>
    <row r="228" spans="6:11" ht="14.25" customHeight="1" x14ac:dyDescent="0.35">
      <c r="F228" s="26"/>
      <c r="H228" s="27"/>
      <c r="J228" s="27"/>
      <c r="K228" s="27"/>
    </row>
    <row r="229" spans="6:11" ht="14.25" customHeight="1" x14ac:dyDescent="0.35">
      <c r="F229" s="26"/>
      <c r="H229" s="27"/>
      <c r="J229" s="27"/>
      <c r="K229" s="27"/>
    </row>
    <row r="230" spans="6:11" ht="14.25" customHeight="1" x14ac:dyDescent="0.35">
      <c r="F230" s="26"/>
      <c r="H230" s="27"/>
      <c r="J230" s="27"/>
      <c r="K230" s="27"/>
    </row>
    <row r="231" spans="6:11" ht="14.25" customHeight="1" x14ac:dyDescent="0.35">
      <c r="F231" s="26"/>
      <c r="H231" s="27"/>
      <c r="J231" s="27"/>
      <c r="K231" s="27"/>
    </row>
    <row r="232" spans="6:11" ht="14.25" customHeight="1" x14ac:dyDescent="0.35">
      <c r="F232" s="26"/>
      <c r="H232" s="27"/>
      <c r="J232" s="27"/>
      <c r="K232" s="27"/>
    </row>
    <row r="233" spans="6:11" ht="14.25" customHeight="1" x14ac:dyDescent="0.35">
      <c r="F233" s="26"/>
      <c r="H233" s="27"/>
      <c r="J233" s="27"/>
      <c r="K233" s="27"/>
    </row>
    <row r="234" spans="6:11" ht="14.25" customHeight="1" x14ac:dyDescent="0.35">
      <c r="F234" s="26"/>
      <c r="H234" s="27"/>
      <c r="J234" s="27"/>
      <c r="K234" s="27"/>
    </row>
    <row r="235" spans="6:11" ht="14.25" customHeight="1" x14ac:dyDescent="0.35">
      <c r="F235" s="26"/>
      <c r="H235" s="27"/>
      <c r="J235" s="27"/>
      <c r="K235" s="27"/>
    </row>
    <row r="236" spans="6:11" ht="14.25" customHeight="1" x14ac:dyDescent="0.35">
      <c r="F236" s="26"/>
      <c r="H236" s="27"/>
      <c r="J236" s="27"/>
      <c r="K236" s="27"/>
    </row>
    <row r="237" spans="6:11" ht="14.25" customHeight="1" x14ac:dyDescent="0.35">
      <c r="F237" s="26"/>
      <c r="H237" s="27"/>
      <c r="J237" s="27"/>
      <c r="K237" s="27"/>
    </row>
    <row r="238" spans="6:11" ht="14.25" customHeight="1" x14ac:dyDescent="0.35">
      <c r="F238" s="26"/>
      <c r="H238" s="27"/>
      <c r="J238" s="27"/>
      <c r="K238" s="27"/>
    </row>
    <row r="239" spans="6:11" ht="14.25" customHeight="1" x14ac:dyDescent="0.35">
      <c r="F239" s="26"/>
      <c r="H239" s="27"/>
      <c r="J239" s="27"/>
      <c r="K239" s="27"/>
    </row>
    <row r="240" spans="6:11" ht="14.25" customHeight="1" x14ac:dyDescent="0.35">
      <c r="F240" s="26"/>
      <c r="H240" s="27"/>
      <c r="J240" s="27"/>
      <c r="K240" s="27"/>
    </row>
    <row r="241" spans="6:11" ht="14.25" customHeight="1" x14ac:dyDescent="0.35">
      <c r="F241" s="26"/>
      <c r="H241" s="27"/>
      <c r="J241" s="27"/>
      <c r="K241" s="27"/>
    </row>
    <row r="242" spans="6:11" ht="14.25" customHeight="1" x14ac:dyDescent="0.35">
      <c r="F242" s="26"/>
      <c r="H242" s="27"/>
      <c r="J242" s="27"/>
      <c r="K242" s="27"/>
    </row>
    <row r="243" spans="6:11" ht="14.25" customHeight="1" x14ac:dyDescent="0.35">
      <c r="F243" s="26"/>
      <c r="H243" s="27"/>
      <c r="J243" s="27"/>
      <c r="K243" s="27"/>
    </row>
    <row r="244" spans="6:11" ht="14.25" customHeight="1" x14ac:dyDescent="0.35">
      <c r="F244" s="26"/>
      <c r="H244" s="27"/>
      <c r="J244" s="27"/>
      <c r="K244" s="27"/>
    </row>
    <row r="245" spans="6:11" ht="14.25" customHeight="1" x14ac:dyDescent="0.35">
      <c r="F245" s="26"/>
      <c r="H245" s="27"/>
      <c r="J245" s="27"/>
      <c r="K245" s="27"/>
    </row>
    <row r="246" spans="6:11" ht="14.25" customHeight="1" x14ac:dyDescent="0.35">
      <c r="F246" s="26"/>
      <c r="H246" s="27"/>
      <c r="J246" s="27"/>
      <c r="K246" s="27"/>
    </row>
    <row r="247" spans="6:11" ht="14.25" customHeight="1" x14ac:dyDescent="0.35">
      <c r="F247" s="26"/>
      <c r="H247" s="27"/>
      <c r="J247" s="27"/>
      <c r="K247" s="27"/>
    </row>
    <row r="248" spans="6:11" ht="14.25" customHeight="1" x14ac:dyDescent="0.35">
      <c r="F248" s="26"/>
      <c r="H248" s="27"/>
      <c r="J248" s="27"/>
      <c r="K248" s="27"/>
    </row>
    <row r="249" spans="6:11" ht="14.25" customHeight="1" x14ac:dyDescent="0.35">
      <c r="F249" s="26"/>
      <c r="H249" s="27"/>
      <c r="J249" s="27"/>
      <c r="K249" s="27"/>
    </row>
    <row r="250" spans="6:11" ht="14.25" customHeight="1" x14ac:dyDescent="0.35">
      <c r="F250" s="26"/>
      <c r="H250" s="27"/>
      <c r="J250" s="27"/>
      <c r="K250" s="27"/>
    </row>
    <row r="251" spans="6:11" ht="14.25" customHeight="1" x14ac:dyDescent="0.35">
      <c r="F251" s="26"/>
      <c r="H251" s="27"/>
      <c r="J251" s="27"/>
      <c r="K251" s="27"/>
    </row>
    <row r="252" spans="6:11" ht="14.25" customHeight="1" x14ac:dyDescent="0.35">
      <c r="F252" s="26"/>
      <c r="H252" s="27"/>
      <c r="J252" s="27"/>
      <c r="K252" s="27"/>
    </row>
    <row r="253" spans="6:11" ht="14.25" customHeight="1" x14ac:dyDescent="0.35">
      <c r="F253" s="26"/>
      <c r="H253" s="27"/>
      <c r="J253" s="27"/>
      <c r="K253" s="27"/>
    </row>
    <row r="254" spans="6:11" ht="14.25" customHeight="1" x14ac:dyDescent="0.35">
      <c r="F254" s="26"/>
      <c r="H254" s="27"/>
      <c r="J254" s="27"/>
      <c r="K254" s="27"/>
    </row>
    <row r="255" spans="6:11" ht="14.25" customHeight="1" x14ac:dyDescent="0.35">
      <c r="F255" s="26"/>
      <c r="H255" s="27"/>
      <c r="J255" s="27"/>
      <c r="K255" s="27"/>
    </row>
    <row r="256" spans="6:11" ht="14.25" customHeight="1" x14ac:dyDescent="0.35">
      <c r="F256" s="26"/>
      <c r="H256" s="27"/>
      <c r="J256" s="27"/>
      <c r="K256" s="27"/>
    </row>
    <row r="257" spans="6:11" ht="14.25" customHeight="1" x14ac:dyDescent="0.35">
      <c r="F257" s="26"/>
      <c r="H257" s="27"/>
      <c r="J257" s="27"/>
      <c r="K257" s="27"/>
    </row>
    <row r="258" spans="6:11" ht="14.25" customHeight="1" x14ac:dyDescent="0.35">
      <c r="F258" s="26"/>
      <c r="H258" s="27"/>
      <c r="J258" s="27"/>
      <c r="K258" s="27"/>
    </row>
    <row r="259" spans="6:11" ht="14.25" customHeight="1" x14ac:dyDescent="0.35">
      <c r="F259" s="26"/>
      <c r="H259" s="27"/>
      <c r="J259" s="27"/>
      <c r="K259" s="27"/>
    </row>
    <row r="260" spans="6:11" ht="14.25" customHeight="1" x14ac:dyDescent="0.35">
      <c r="F260" s="26"/>
      <c r="H260" s="27"/>
      <c r="J260" s="27"/>
      <c r="K260" s="27"/>
    </row>
    <row r="261" spans="6:11" ht="14.25" customHeight="1" x14ac:dyDescent="0.35">
      <c r="F261" s="26"/>
      <c r="H261" s="27"/>
      <c r="J261" s="27"/>
      <c r="K261" s="27"/>
    </row>
    <row r="262" spans="6:11" ht="14.25" customHeight="1" x14ac:dyDescent="0.35">
      <c r="F262" s="26"/>
      <c r="H262" s="27"/>
      <c r="J262" s="27"/>
      <c r="K262" s="27"/>
    </row>
    <row r="263" spans="6:11" ht="14.25" customHeight="1" x14ac:dyDescent="0.35">
      <c r="F263" s="26"/>
      <c r="H263" s="27"/>
      <c r="J263" s="27"/>
      <c r="K263" s="27"/>
    </row>
    <row r="264" spans="6:11" ht="14.25" customHeight="1" x14ac:dyDescent="0.35">
      <c r="F264" s="26"/>
      <c r="H264" s="27"/>
      <c r="J264" s="27"/>
      <c r="K264" s="27"/>
    </row>
    <row r="265" spans="6:11" ht="14.25" customHeight="1" x14ac:dyDescent="0.35">
      <c r="F265" s="26"/>
      <c r="H265" s="27"/>
      <c r="J265" s="27"/>
      <c r="K265" s="27"/>
    </row>
    <row r="266" spans="6:11" ht="14.25" customHeight="1" x14ac:dyDescent="0.35">
      <c r="F266" s="26"/>
      <c r="H266" s="27"/>
      <c r="J266" s="27"/>
      <c r="K266" s="27"/>
    </row>
    <row r="267" spans="6:11" ht="14.25" customHeight="1" x14ac:dyDescent="0.35">
      <c r="F267" s="26"/>
      <c r="H267" s="27"/>
      <c r="J267" s="27"/>
      <c r="K267" s="27"/>
    </row>
    <row r="268" spans="6:11" ht="14.25" customHeight="1" x14ac:dyDescent="0.35">
      <c r="F268" s="26"/>
      <c r="H268" s="27"/>
      <c r="J268" s="27"/>
      <c r="K268" s="27"/>
    </row>
    <row r="269" spans="6:11" ht="14.25" customHeight="1" x14ac:dyDescent="0.35">
      <c r="F269" s="26"/>
      <c r="H269" s="27"/>
      <c r="J269" s="27"/>
      <c r="K269" s="27"/>
    </row>
    <row r="270" spans="6:11" ht="14.25" customHeight="1" x14ac:dyDescent="0.35">
      <c r="F270" s="26"/>
      <c r="H270" s="27"/>
      <c r="J270" s="27"/>
      <c r="K270" s="27"/>
    </row>
    <row r="271" spans="6:11" ht="14.25" customHeight="1" x14ac:dyDescent="0.35">
      <c r="F271" s="26"/>
      <c r="H271" s="27"/>
      <c r="J271" s="27"/>
      <c r="K271" s="27"/>
    </row>
    <row r="272" spans="6:11" ht="14.25" customHeight="1" x14ac:dyDescent="0.35">
      <c r="F272" s="26"/>
      <c r="H272" s="27"/>
      <c r="J272" s="27"/>
      <c r="K272" s="27"/>
    </row>
    <row r="273" spans="6:11" ht="14.25" customHeight="1" x14ac:dyDescent="0.35">
      <c r="F273" s="26"/>
      <c r="H273" s="27"/>
      <c r="J273" s="27"/>
      <c r="K273" s="27"/>
    </row>
    <row r="274" spans="6:11" ht="14.25" customHeight="1" x14ac:dyDescent="0.35">
      <c r="F274" s="26"/>
      <c r="H274" s="27"/>
      <c r="J274" s="27"/>
      <c r="K274" s="27"/>
    </row>
    <row r="275" spans="6:11" ht="14.25" customHeight="1" x14ac:dyDescent="0.35">
      <c r="F275" s="26"/>
      <c r="H275" s="27"/>
      <c r="J275" s="27"/>
      <c r="K275" s="27"/>
    </row>
    <row r="276" spans="6:11" ht="14.25" customHeight="1" x14ac:dyDescent="0.35">
      <c r="F276" s="26"/>
      <c r="H276" s="27"/>
      <c r="J276" s="27"/>
      <c r="K276" s="27"/>
    </row>
    <row r="277" spans="6:11" ht="14.25" customHeight="1" x14ac:dyDescent="0.35">
      <c r="F277" s="26"/>
      <c r="H277" s="27"/>
      <c r="J277" s="27"/>
      <c r="K277" s="27"/>
    </row>
    <row r="278" spans="6:11" ht="14.25" customHeight="1" x14ac:dyDescent="0.35">
      <c r="F278" s="26"/>
      <c r="H278" s="27"/>
      <c r="J278" s="27"/>
      <c r="K278" s="27"/>
    </row>
    <row r="279" spans="6:11" ht="14.25" customHeight="1" x14ac:dyDescent="0.35">
      <c r="F279" s="26"/>
      <c r="H279" s="27"/>
      <c r="J279" s="27"/>
      <c r="K279" s="27"/>
    </row>
    <row r="280" spans="6:11" ht="14.25" customHeight="1" x14ac:dyDescent="0.35">
      <c r="F280" s="26"/>
      <c r="H280" s="27"/>
      <c r="J280" s="27"/>
      <c r="K280" s="27"/>
    </row>
    <row r="281" spans="6:11" ht="14.25" customHeight="1" x14ac:dyDescent="0.35">
      <c r="F281" s="26"/>
      <c r="H281" s="27"/>
      <c r="J281" s="27"/>
      <c r="K281" s="27"/>
    </row>
    <row r="282" spans="6:11" ht="14.25" customHeight="1" x14ac:dyDescent="0.35">
      <c r="F282" s="26"/>
      <c r="H282" s="27"/>
      <c r="J282" s="27"/>
      <c r="K282" s="27"/>
    </row>
    <row r="283" spans="6:11" ht="14.25" customHeight="1" x14ac:dyDescent="0.35">
      <c r="F283" s="26"/>
      <c r="H283" s="27"/>
      <c r="J283" s="27"/>
      <c r="K283" s="27"/>
    </row>
    <row r="284" spans="6:11" ht="14.25" customHeight="1" x14ac:dyDescent="0.35">
      <c r="F284" s="26"/>
      <c r="H284" s="27"/>
      <c r="J284" s="27"/>
      <c r="K284" s="27"/>
    </row>
    <row r="285" spans="6:11" ht="14.25" customHeight="1" x14ac:dyDescent="0.35">
      <c r="F285" s="26"/>
      <c r="H285" s="27"/>
      <c r="J285" s="27"/>
      <c r="K285" s="27"/>
    </row>
    <row r="286" spans="6:11" ht="14.25" customHeight="1" x14ac:dyDescent="0.35">
      <c r="F286" s="26"/>
      <c r="H286" s="27"/>
      <c r="J286" s="27"/>
      <c r="K286" s="27"/>
    </row>
    <row r="287" spans="6:11" ht="14.25" customHeight="1" x14ac:dyDescent="0.35">
      <c r="F287" s="26"/>
      <c r="H287" s="27"/>
      <c r="J287" s="27"/>
      <c r="K287" s="27"/>
    </row>
    <row r="288" spans="6:11" ht="14.25" customHeight="1" x14ac:dyDescent="0.35">
      <c r="F288" s="26"/>
      <c r="H288" s="27"/>
      <c r="J288" s="27"/>
      <c r="K288" s="27"/>
    </row>
    <row r="289" spans="6:11" ht="14.25" customHeight="1" x14ac:dyDescent="0.35">
      <c r="F289" s="26"/>
      <c r="H289" s="27"/>
      <c r="J289" s="27"/>
      <c r="K289" s="27"/>
    </row>
    <row r="290" spans="6:11" ht="14.25" customHeight="1" x14ac:dyDescent="0.35">
      <c r="F290" s="26"/>
      <c r="H290" s="27"/>
      <c r="J290" s="27"/>
      <c r="K290" s="27"/>
    </row>
    <row r="291" spans="6:11" ht="14.25" customHeight="1" x14ac:dyDescent="0.35">
      <c r="F291" s="26"/>
      <c r="H291" s="27"/>
      <c r="J291" s="27"/>
      <c r="K291" s="27"/>
    </row>
    <row r="292" spans="6:11" ht="14.25" customHeight="1" x14ac:dyDescent="0.35">
      <c r="F292" s="26"/>
      <c r="H292" s="27"/>
      <c r="J292" s="27"/>
      <c r="K292" s="27"/>
    </row>
    <row r="293" spans="6:11" ht="14.25" customHeight="1" x14ac:dyDescent="0.35">
      <c r="F293" s="26"/>
      <c r="H293" s="27"/>
      <c r="J293" s="27"/>
      <c r="K293" s="27"/>
    </row>
    <row r="294" spans="6:11" ht="14.25" customHeight="1" x14ac:dyDescent="0.35">
      <c r="F294" s="26"/>
      <c r="H294" s="27"/>
      <c r="J294" s="27"/>
      <c r="K294" s="27"/>
    </row>
    <row r="295" spans="6:11" ht="14.25" customHeight="1" x14ac:dyDescent="0.35">
      <c r="F295" s="26"/>
      <c r="H295" s="27"/>
      <c r="J295" s="27"/>
      <c r="K295" s="27"/>
    </row>
    <row r="296" spans="6:11" ht="14.25" customHeight="1" x14ac:dyDescent="0.35">
      <c r="F296" s="26"/>
      <c r="H296" s="27"/>
      <c r="J296" s="27"/>
      <c r="K296" s="27"/>
    </row>
    <row r="297" spans="6:11" ht="14.25" customHeight="1" x14ac:dyDescent="0.35">
      <c r="F297" s="26"/>
      <c r="H297" s="27"/>
      <c r="J297" s="27"/>
      <c r="K297" s="27"/>
    </row>
    <row r="298" spans="6:11" ht="14.25" customHeight="1" x14ac:dyDescent="0.35">
      <c r="F298" s="26"/>
      <c r="H298" s="27"/>
      <c r="J298" s="27"/>
      <c r="K298" s="27"/>
    </row>
    <row r="299" spans="6:11" ht="14.25" customHeight="1" x14ac:dyDescent="0.35">
      <c r="F299" s="26"/>
      <c r="H299" s="27"/>
      <c r="J299" s="27"/>
      <c r="K299" s="27"/>
    </row>
    <row r="300" spans="6:11" ht="14.25" customHeight="1" x14ac:dyDescent="0.35">
      <c r="F300" s="26"/>
      <c r="H300" s="27"/>
      <c r="J300" s="27"/>
      <c r="K300" s="27"/>
    </row>
    <row r="301" spans="6:11" ht="14.25" customHeight="1" x14ac:dyDescent="0.35">
      <c r="F301" s="26"/>
      <c r="H301" s="27"/>
      <c r="J301" s="27"/>
      <c r="K301" s="27"/>
    </row>
    <row r="302" spans="6:11" ht="14.25" customHeight="1" x14ac:dyDescent="0.35">
      <c r="F302" s="26"/>
      <c r="H302" s="27"/>
      <c r="J302" s="27"/>
      <c r="K302" s="27"/>
    </row>
    <row r="303" spans="6:11" ht="14.25" customHeight="1" x14ac:dyDescent="0.35">
      <c r="F303" s="26"/>
      <c r="H303" s="27"/>
      <c r="J303" s="27"/>
      <c r="K303" s="27"/>
    </row>
    <row r="304" spans="6:11" ht="14.25" customHeight="1" x14ac:dyDescent="0.35">
      <c r="F304" s="26"/>
      <c r="H304" s="27"/>
      <c r="J304" s="27"/>
      <c r="K304" s="27"/>
    </row>
    <row r="305" spans="6:11" ht="14.25" customHeight="1" x14ac:dyDescent="0.35">
      <c r="F305" s="26"/>
      <c r="H305" s="27"/>
      <c r="J305" s="27"/>
      <c r="K305" s="27"/>
    </row>
    <row r="306" spans="6:11" ht="14.25" customHeight="1" x14ac:dyDescent="0.35">
      <c r="F306" s="26"/>
      <c r="H306" s="27"/>
      <c r="J306" s="27"/>
      <c r="K306" s="27"/>
    </row>
    <row r="307" spans="6:11" ht="14.25" customHeight="1" x14ac:dyDescent="0.35">
      <c r="F307" s="26"/>
      <c r="H307" s="27"/>
      <c r="J307" s="27"/>
      <c r="K307" s="27"/>
    </row>
    <row r="308" spans="6:11" ht="14.25" customHeight="1" x14ac:dyDescent="0.35">
      <c r="F308" s="26"/>
      <c r="H308" s="27"/>
      <c r="J308" s="27"/>
      <c r="K308" s="27"/>
    </row>
    <row r="309" spans="6:11" ht="14.25" customHeight="1" x14ac:dyDescent="0.35">
      <c r="F309" s="26"/>
      <c r="H309" s="27"/>
      <c r="J309" s="27"/>
      <c r="K309" s="27"/>
    </row>
    <row r="310" spans="6:11" ht="14.25" customHeight="1" x14ac:dyDescent="0.35">
      <c r="F310" s="26"/>
      <c r="H310" s="27"/>
      <c r="J310" s="27"/>
      <c r="K310" s="27"/>
    </row>
    <row r="311" spans="6:11" ht="14.25" customHeight="1" x14ac:dyDescent="0.35">
      <c r="F311" s="26"/>
      <c r="H311" s="27"/>
      <c r="J311" s="27"/>
      <c r="K311" s="27"/>
    </row>
    <row r="312" spans="6:11" ht="14.25" customHeight="1" x14ac:dyDescent="0.35">
      <c r="F312" s="26"/>
      <c r="H312" s="27"/>
      <c r="J312" s="27"/>
      <c r="K312" s="27"/>
    </row>
    <row r="313" spans="6:11" ht="14.25" customHeight="1" x14ac:dyDescent="0.35">
      <c r="F313" s="26"/>
      <c r="H313" s="27"/>
      <c r="J313" s="27"/>
      <c r="K313" s="27"/>
    </row>
    <row r="314" spans="6:11" ht="14.25" customHeight="1" x14ac:dyDescent="0.35">
      <c r="F314" s="26"/>
      <c r="H314" s="27"/>
      <c r="J314" s="27"/>
      <c r="K314" s="27"/>
    </row>
    <row r="315" spans="6:11" ht="14.25" customHeight="1" x14ac:dyDescent="0.35">
      <c r="F315" s="26"/>
      <c r="H315" s="27"/>
      <c r="J315" s="27"/>
      <c r="K315" s="27"/>
    </row>
    <row r="316" spans="6:11" ht="14.25" customHeight="1" x14ac:dyDescent="0.35">
      <c r="F316" s="26"/>
      <c r="H316" s="27"/>
      <c r="J316" s="27"/>
      <c r="K316" s="27"/>
    </row>
    <row r="317" spans="6:11" ht="14.25" customHeight="1" x14ac:dyDescent="0.35">
      <c r="F317" s="26"/>
      <c r="H317" s="27"/>
      <c r="J317" s="27"/>
      <c r="K317" s="27"/>
    </row>
    <row r="318" spans="6:11" ht="14.25" customHeight="1" x14ac:dyDescent="0.35">
      <c r="F318" s="26"/>
      <c r="H318" s="27"/>
      <c r="J318" s="27"/>
      <c r="K318" s="27"/>
    </row>
    <row r="319" spans="6:11" ht="14.25" customHeight="1" x14ac:dyDescent="0.35">
      <c r="F319" s="26"/>
      <c r="H319" s="27"/>
      <c r="J319" s="27"/>
      <c r="K319" s="27"/>
    </row>
    <row r="320" spans="6:11" ht="14.25" customHeight="1" x14ac:dyDescent="0.35">
      <c r="F320" s="26"/>
      <c r="H320" s="27"/>
      <c r="J320" s="27"/>
      <c r="K320" s="27"/>
    </row>
    <row r="321" spans="6:11" ht="14.25" customHeight="1" x14ac:dyDescent="0.35">
      <c r="F321" s="26"/>
      <c r="H321" s="27"/>
      <c r="J321" s="27"/>
      <c r="K321" s="27"/>
    </row>
    <row r="322" spans="6:11" ht="14.25" customHeight="1" x14ac:dyDescent="0.35">
      <c r="F322" s="26"/>
      <c r="H322" s="27"/>
      <c r="J322" s="27"/>
      <c r="K322" s="27"/>
    </row>
    <row r="323" spans="6:11" ht="14.25" customHeight="1" x14ac:dyDescent="0.35">
      <c r="F323" s="26"/>
      <c r="H323" s="27"/>
      <c r="J323" s="27"/>
      <c r="K323" s="27"/>
    </row>
    <row r="324" spans="6:11" ht="14.25" customHeight="1" x14ac:dyDescent="0.35">
      <c r="F324" s="26"/>
      <c r="H324" s="27"/>
      <c r="J324" s="27"/>
      <c r="K324" s="27"/>
    </row>
    <row r="325" spans="6:11" ht="14.25" customHeight="1" x14ac:dyDescent="0.35">
      <c r="F325" s="26"/>
      <c r="H325" s="27"/>
      <c r="J325" s="27"/>
      <c r="K325" s="27"/>
    </row>
    <row r="326" spans="6:11" ht="14.25" customHeight="1" x14ac:dyDescent="0.35">
      <c r="F326" s="26"/>
      <c r="H326" s="27"/>
      <c r="J326" s="27"/>
      <c r="K326" s="27"/>
    </row>
    <row r="327" spans="6:11" ht="14.25" customHeight="1" x14ac:dyDescent="0.35">
      <c r="F327" s="26"/>
      <c r="H327" s="27"/>
      <c r="J327" s="27"/>
      <c r="K327" s="27"/>
    </row>
    <row r="328" spans="6:11" ht="14.25" customHeight="1" x14ac:dyDescent="0.35">
      <c r="F328" s="26"/>
      <c r="H328" s="27"/>
      <c r="J328" s="27"/>
      <c r="K328" s="27"/>
    </row>
    <row r="329" spans="6:11" ht="14.25" customHeight="1" x14ac:dyDescent="0.35">
      <c r="F329" s="26"/>
      <c r="H329" s="27"/>
      <c r="J329" s="27"/>
      <c r="K329" s="27"/>
    </row>
    <row r="330" spans="6:11" ht="14.25" customHeight="1" x14ac:dyDescent="0.35">
      <c r="F330" s="26"/>
      <c r="H330" s="27"/>
      <c r="J330" s="27"/>
      <c r="K330" s="27"/>
    </row>
    <row r="331" spans="6:11" ht="14.25" customHeight="1" x14ac:dyDescent="0.35">
      <c r="F331" s="26"/>
      <c r="H331" s="27"/>
      <c r="J331" s="27"/>
      <c r="K331" s="27"/>
    </row>
    <row r="332" spans="6:11" ht="14.25" customHeight="1" x14ac:dyDescent="0.35">
      <c r="F332" s="26"/>
      <c r="H332" s="27"/>
      <c r="J332" s="27"/>
      <c r="K332" s="27"/>
    </row>
    <row r="333" spans="6:11" ht="14.25" customHeight="1" x14ac:dyDescent="0.35">
      <c r="F333" s="26"/>
      <c r="H333" s="27"/>
      <c r="J333" s="27"/>
      <c r="K333" s="27"/>
    </row>
    <row r="334" spans="6:11" ht="14.25" customHeight="1" x14ac:dyDescent="0.35">
      <c r="F334" s="26"/>
      <c r="H334" s="27"/>
      <c r="J334" s="27"/>
      <c r="K334" s="27"/>
    </row>
    <row r="335" spans="6:11" ht="14.25" customHeight="1" x14ac:dyDescent="0.35">
      <c r="F335" s="26"/>
      <c r="H335" s="27"/>
      <c r="J335" s="27"/>
      <c r="K335" s="27"/>
    </row>
    <row r="336" spans="6:11" ht="14.25" customHeight="1" x14ac:dyDescent="0.35">
      <c r="F336" s="26"/>
      <c r="H336" s="27"/>
      <c r="J336" s="27"/>
      <c r="K336" s="27"/>
    </row>
    <row r="337" spans="6:11" ht="14.25" customHeight="1" x14ac:dyDescent="0.35">
      <c r="F337" s="26"/>
      <c r="H337" s="27"/>
      <c r="J337" s="27"/>
      <c r="K337" s="27"/>
    </row>
    <row r="338" spans="6:11" ht="14.25" customHeight="1" x14ac:dyDescent="0.35">
      <c r="F338" s="26"/>
      <c r="H338" s="27"/>
      <c r="J338" s="27"/>
      <c r="K338" s="27"/>
    </row>
    <row r="339" spans="6:11" ht="14.25" customHeight="1" x14ac:dyDescent="0.35">
      <c r="F339" s="26"/>
      <c r="H339" s="27"/>
      <c r="J339" s="27"/>
      <c r="K339" s="27"/>
    </row>
    <row r="340" spans="6:11" ht="14.25" customHeight="1" x14ac:dyDescent="0.35">
      <c r="F340" s="26"/>
      <c r="H340" s="27"/>
      <c r="J340" s="27"/>
      <c r="K340" s="27"/>
    </row>
    <row r="341" spans="6:11" ht="14.25" customHeight="1" x14ac:dyDescent="0.35">
      <c r="F341" s="26"/>
      <c r="H341" s="27"/>
      <c r="J341" s="27"/>
      <c r="K341" s="27"/>
    </row>
    <row r="342" spans="6:11" ht="14.25" customHeight="1" x14ac:dyDescent="0.35">
      <c r="F342" s="26"/>
      <c r="H342" s="27"/>
      <c r="J342" s="27"/>
      <c r="K342" s="27"/>
    </row>
    <row r="343" spans="6:11" ht="14.25" customHeight="1" x14ac:dyDescent="0.35">
      <c r="F343" s="26"/>
      <c r="H343" s="27"/>
      <c r="J343" s="27"/>
      <c r="K343" s="27"/>
    </row>
    <row r="344" spans="6:11" ht="14.25" customHeight="1" x14ac:dyDescent="0.35">
      <c r="F344" s="26"/>
      <c r="H344" s="27"/>
      <c r="J344" s="27"/>
      <c r="K344" s="27"/>
    </row>
    <row r="345" spans="6:11" ht="14.25" customHeight="1" x14ac:dyDescent="0.35">
      <c r="F345" s="26"/>
      <c r="H345" s="27"/>
      <c r="J345" s="27"/>
      <c r="K345" s="27"/>
    </row>
    <row r="346" spans="6:11" ht="14.25" customHeight="1" x14ac:dyDescent="0.35">
      <c r="F346" s="26"/>
      <c r="H346" s="27"/>
      <c r="J346" s="27"/>
      <c r="K346" s="27"/>
    </row>
    <row r="347" spans="6:11" ht="14.25" customHeight="1" x14ac:dyDescent="0.35">
      <c r="F347" s="26"/>
      <c r="H347" s="27"/>
      <c r="J347" s="27"/>
      <c r="K347" s="27"/>
    </row>
    <row r="348" spans="6:11" ht="14.25" customHeight="1" x14ac:dyDescent="0.35">
      <c r="F348" s="26"/>
      <c r="H348" s="27"/>
      <c r="J348" s="27"/>
      <c r="K348" s="27"/>
    </row>
    <row r="349" spans="6:11" ht="14.25" customHeight="1" x14ac:dyDescent="0.35">
      <c r="F349" s="26"/>
      <c r="H349" s="27"/>
      <c r="J349" s="27"/>
      <c r="K349" s="27"/>
    </row>
    <row r="350" spans="6:11" ht="14.25" customHeight="1" x14ac:dyDescent="0.35">
      <c r="F350" s="26"/>
      <c r="H350" s="27"/>
      <c r="J350" s="27"/>
      <c r="K350" s="27"/>
    </row>
    <row r="351" spans="6:11" ht="14.25" customHeight="1" x14ac:dyDescent="0.35">
      <c r="F351" s="26"/>
      <c r="H351" s="27"/>
      <c r="J351" s="27"/>
      <c r="K351" s="27"/>
    </row>
    <row r="352" spans="6:11" ht="14.25" customHeight="1" x14ac:dyDescent="0.35">
      <c r="F352" s="26"/>
      <c r="H352" s="27"/>
      <c r="J352" s="27"/>
      <c r="K352" s="27"/>
    </row>
    <row r="353" spans="6:11" ht="14.25" customHeight="1" x14ac:dyDescent="0.35">
      <c r="F353" s="26"/>
      <c r="H353" s="27"/>
      <c r="J353" s="27"/>
      <c r="K353" s="27"/>
    </row>
    <row r="354" spans="6:11" ht="14.25" customHeight="1" x14ac:dyDescent="0.35">
      <c r="F354" s="26"/>
      <c r="H354" s="27"/>
      <c r="J354" s="27"/>
      <c r="K354" s="27"/>
    </row>
    <row r="355" spans="6:11" ht="14.25" customHeight="1" x14ac:dyDescent="0.35">
      <c r="F355" s="26"/>
      <c r="H355" s="27"/>
      <c r="J355" s="27"/>
      <c r="K355" s="27"/>
    </row>
    <row r="356" spans="6:11" ht="14.25" customHeight="1" x14ac:dyDescent="0.35">
      <c r="F356" s="26"/>
      <c r="H356" s="27"/>
      <c r="J356" s="27"/>
      <c r="K356" s="27"/>
    </row>
    <row r="357" spans="6:11" ht="14.25" customHeight="1" x14ac:dyDescent="0.35">
      <c r="F357" s="26"/>
      <c r="H357" s="27"/>
      <c r="J357" s="27"/>
      <c r="K357" s="27"/>
    </row>
    <row r="358" spans="6:11" ht="14.25" customHeight="1" x14ac:dyDescent="0.35">
      <c r="F358" s="26"/>
      <c r="H358" s="27"/>
      <c r="J358" s="27"/>
      <c r="K358" s="27"/>
    </row>
    <row r="359" spans="6:11" ht="14.25" customHeight="1" x14ac:dyDescent="0.35">
      <c r="F359" s="26"/>
      <c r="H359" s="27"/>
      <c r="J359" s="27"/>
      <c r="K359" s="27"/>
    </row>
    <row r="360" spans="6:11" ht="14.25" customHeight="1" x14ac:dyDescent="0.35">
      <c r="F360" s="26"/>
      <c r="H360" s="27"/>
      <c r="J360" s="27"/>
      <c r="K360" s="27"/>
    </row>
    <row r="361" spans="6:11" ht="14.25" customHeight="1" x14ac:dyDescent="0.35">
      <c r="F361" s="26"/>
      <c r="H361" s="27"/>
      <c r="J361" s="27"/>
      <c r="K361" s="27"/>
    </row>
    <row r="362" spans="6:11" ht="14.25" customHeight="1" x14ac:dyDescent="0.35">
      <c r="F362" s="26"/>
      <c r="H362" s="27"/>
      <c r="J362" s="27"/>
      <c r="K362" s="27"/>
    </row>
    <row r="363" spans="6:11" ht="14.25" customHeight="1" x14ac:dyDescent="0.35">
      <c r="F363" s="26"/>
      <c r="H363" s="27"/>
      <c r="J363" s="27"/>
      <c r="K363" s="27"/>
    </row>
    <row r="364" spans="6:11" ht="14.25" customHeight="1" x14ac:dyDescent="0.35">
      <c r="F364" s="26"/>
      <c r="H364" s="27"/>
      <c r="J364" s="27"/>
      <c r="K364" s="27"/>
    </row>
    <row r="365" spans="6:11" ht="14.25" customHeight="1" x14ac:dyDescent="0.35">
      <c r="F365" s="26"/>
      <c r="H365" s="27"/>
      <c r="J365" s="27"/>
      <c r="K365" s="27"/>
    </row>
    <row r="366" spans="6:11" ht="14.25" customHeight="1" x14ac:dyDescent="0.35">
      <c r="F366" s="26"/>
      <c r="H366" s="27"/>
      <c r="J366" s="27"/>
      <c r="K366" s="27"/>
    </row>
    <row r="367" spans="6:11" ht="14.25" customHeight="1" x14ac:dyDescent="0.35">
      <c r="F367" s="26"/>
      <c r="H367" s="27"/>
      <c r="J367" s="27"/>
      <c r="K367" s="27"/>
    </row>
    <row r="368" spans="6:11" ht="14.25" customHeight="1" x14ac:dyDescent="0.35">
      <c r="F368" s="26"/>
      <c r="H368" s="27"/>
      <c r="J368" s="27"/>
      <c r="K368" s="27"/>
    </row>
    <row r="369" spans="6:11" ht="14.25" customHeight="1" x14ac:dyDescent="0.35">
      <c r="F369" s="26"/>
      <c r="H369" s="27"/>
      <c r="J369" s="27"/>
      <c r="K369" s="27"/>
    </row>
    <row r="370" spans="6:11" ht="14.25" customHeight="1" x14ac:dyDescent="0.35">
      <c r="F370" s="26"/>
      <c r="H370" s="27"/>
      <c r="J370" s="27"/>
      <c r="K370" s="27"/>
    </row>
    <row r="371" spans="6:11" ht="14.25" customHeight="1" x14ac:dyDescent="0.35">
      <c r="F371" s="26"/>
      <c r="H371" s="27"/>
      <c r="J371" s="27"/>
      <c r="K371" s="27"/>
    </row>
    <row r="372" spans="6:11" ht="14.25" customHeight="1" x14ac:dyDescent="0.35">
      <c r="F372" s="26"/>
      <c r="H372" s="27"/>
      <c r="J372" s="27"/>
      <c r="K372" s="27"/>
    </row>
    <row r="373" spans="6:11" ht="14.25" customHeight="1" x14ac:dyDescent="0.35">
      <c r="F373" s="26"/>
      <c r="H373" s="27"/>
      <c r="J373" s="27"/>
      <c r="K373" s="27"/>
    </row>
    <row r="374" spans="6:11" ht="14.25" customHeight="1" x14ac:dyDescent="0.35">
      <c r="F374" s="26"/>
      <c r="H374" s="27"/>
      <c r="J374" s="27"/>
      <c r="K374" s="27"/>
    </row>
    <row r="375" spans="6:11" ht="14.25" customHeight="1" x14ac:dyDescent="0.35">
      <c r="F375" s="26"/>
      <c r="H375" s="27"/>
      <c r="J375" s="27"/>
      <c r="K375" s="27"/>
    </row>
    <row r="376" spans="6:11" ht="14.25" customHeight="1" x14ac:dyDescent="0.35">
      <c r="F376" s="26"/>
      <c r="H376" s="27"/>
      <c r="J376" s="27"/>
      <c r="K376" s="27"/>
    </row>
    <row r="377" spans="6:11" ht="14.25" customHeight="1" x14ac:dyDescent="0.35">
      <c r="F377" s="26"/>
      <c r="H377" s="27"/>
      <c r="J377" s="27"/>
      <c r="K377" s="27"/>
    </row>
    <row r="378" spans="6:11" ht="14.25" customHeight="1" x14ac:dyDescent="0.35">
      <c r="F378" s="26"/>
      <c r="H378" s="27"/>
      <c r="J378" s="27"/>
      <c r="K378" s="27"/>
    </row>
    <row r="379" spans="6:11" ht="14.25" customHeight="1" x14ac:dyDescent="0.35">
      <c r="F379" s="26"/>
      <c r="H379" s="27"/>
      <c r="J379" s="27"/>
      <c r="K379" s="27"/>
    </row>
    <row r="380" spans="6:11" ht="14.25" customHeight="1" x14ac:dyDescent="0.35">
      <c r="F380" s="26"/>
      <c r="H380" s="27"/>
      <c r="J380" s="27"/>
      <c r="K380" s="27"/>
    </row>
    <row r="381" spans="6:11" ht="14.25" customHeight="1" x14ac:dyDescent="0.35">
      <c r="F381" s="26"/>
      <c r="H381" s="27"/>
      <c r="J381" s="27"/>
      <c r="K381" s="27"/>
    </row>
    <row r="382" spans="6:11" ht="14.25" customHeight="1" x14ac:dyDescent="0.35">
      <c r="F382" s="26"/>
      <c r="H382" s="27"/>
      <c r="J382" s="27"/>
      <c r="K382" s="27"/>
    </row>
    <row r="383" spans="6:11" ht="14.25" customHeight="1" x14ac:dyDescent="0.35">
      <c r="F383" s="26"/>
      <c r="H383" s="27"/>
      <c r="J383" s="27"/>
      <c r="K383" s="27"/>
    </row>
    <row r="384" spans="6:11" ht="14.25" customHeight="1" x14ac:dyDescent="0.35">
      <c r="F384" s="26"/>
      <c r="H384" s="27"/>
      <c r="J384" s="27"/>
      <c r="K384" s="27"/>
    </row>
    <row r="385" spans="6:11" ht="14.25" customHeight="1" x14ac:dyDescent="0.35">
      <c r="F385" s="26"/>
      <c r="H385" s="27"/>
      <c r="J385" s="27"/>
      <c r="K385" s="27"/>
    </row>
    <row r="386" spans="6:11" ht="14.25" customHeight="1" x14ac:dyDescent="0.35">
      <c r="F386" s="26"/>
      <c r="H386" s="27"/>
      <c r="J386" s="27"/>
      <c r="K386" s="27"/>
    </row>
    <row r="387" spans="6:11" ht="14.25" customHeight="1" x14ac:dyDescent="0.35">
      <c r="F387" s="26"/>
      <c r="H387" s="27"/>
      <c r="J387" s="27"/>
      <c r="K387" s="27"/>
    </row>
    <row r="388" spans="6:11" ht="14.25" customHeight="1" x14ac:dyDescent="0.35">
      <c r="F388" s="26"/>
      <c r="H388" s="27"/>
      <c r="J388" s="27"/>
      <c r="K388" s="27"/>
    </row>
    <row r="389" spans="6:11" ht="14.25" customHeight="1" x14ac:dyDescent="0.35">
      <c r="F389" s="26"/>
      <c r="H389" s="27"/>
      <c r="J389" s="27"/>
      <c r="K389" s="27"/>
    </row>
    <row r="390" spans="6:11" ht="14.25" customHeight="1" x14ac:dyDescent="0.35">
      <c r="F390" s="26"/>
      <c r="H390" s="27"/>
      <c r="J390" s="27"/>
      <c r="K390" s="27"/>
    </row>
    <row r="391" spans="6:11" ht="14.25" customHeight="1" x14ac:dyDescent="0.35">
      <c r="F391" s="26"/>
      <c r="H391" s="27"/>
      <c r="J391" s="27"/>
      <c r="K391" s="27"/>
    </row>
    <row r="392" spans="6:11" ht="14.25" customHeight="1" x14ac:dyDescent="0.35">
      <c r="F392" s="26"/>
      <c r="H392" s="27"/>
      <c r="J392" s="27"/>
      <c r="K392" s="27"/>
    </row>
    <row r="393" spans="6:11" ht="14.25" customHeight="1" x14ac:dyDescent="0.35">
      <c r="F393" s="26"/>
      <c r="H393" s="27"/>
      <c r="J393" s="27"/>
      <c r="K393" s="27"/>
    </row>
    <row r="394" spans="6:11" ht="14.25" customHeight="1" x14ac:dyDescent="0.35">
      <c r="F394" s="26"/>
      <c r="H394" s="27"/>
      <c r="J394" s="27"/>
      <c r="K394" s="27"/>
    </row>
    <row r="395" spans="6:11" ht="14.25" customHeight="1" x14ac:dyDescent="0.35">
      <c r="F395" s="26"/>
      <c r="H395" s="27"/>
      <c r="J395" s="27"/>
      <c r="K395" s="27"/>
    </row>
    <row r="396" spans="6:11" ht="14.25" customHeight="1" x14ac:dyDescent="0.35">
      <c r="F396" s="26"/>
      <c r="H396" s="27"/>
      <c r="J396" s="27"/>
      <c r="K396" s="27"/>
    </row>
    <row r="397" spans="6:11" ht="14.25" customHeight="1" x14ac:dyDescent="0.35">
      <c r="F397" s="26"/>
      <c r="H397" s="27"/>
      <c r="J397" s="27"/>
      <c r="K397" s="27"/>
    </row>
    <row r="398" spans="6:11" ht="14.25" customHeight="1" x14ac:dyDescent="0.35">
      <c r="F398" s="26"/>
      <c r="H398" s="27"/>
      <c r="J398" s="27"/>
      <c r="K398" s="27"/>
    </row>
    <row r="399" spans="6:11" ht="14.25" customHeight="1" x14ac:dyDescent="0.35">
      <c r="F399" s="26"/>
      <c r="H399" s="27"/>
      <c r="J399" s="27"/>
      <c r="K399" s="27"/>
    </row>
    <row r="400" spans="6:11" ht="14.25" customHeight="1" x14ac:dyDescent="0.35">
      <c r="F400" s="26"/>
      <c r="H400" s="27"/>
      <c r="J400" s="27"/>
      <c r="K400" s="27"/>
    </row>
    <row r="401" spans="6:11" ht="14.25" customHeight="1" x14ac:dyDescent="0.35">
      <c r="F401" s="26"/>
      <c r="H401" s="27"/>
      <c r="J401" s="27"/>
      <c r="K401" s="27"/>
    </row>
    <row r="402" spans="6:11" ht="14.25" customHeight="1" x14ac:dyDescent="0.35">
      <c r="F402" s="26"/>
      <c r="H402" s="27"/>
      <c r="J402" s="27"/>
      <c r="K402" s="27"/>
    </row>
    <row r="403" spans="6:11" ht="14.25" customHeight="1" x14ac:dyDescent="0.35">
      <c r="F403" s="26"/>
      <c r="H403" s="27"/>
      <c r="J403" s="27"/>
      <c r="K403" s="27"/>
    </row>
    <row r="404" spans="6:11" ht="14.25" customHeight="1" x14ac:dyDescent="0.35">
      <c r="F404" s="26"/>
      <c r="H404" s="27"/>
      <c r="J404" s="27"/>
      <c r="K404" s="27"/>
    </row>
    <row r="405" spans="6:11" ht="14.25" customHeight="1" x14ac:dyDescent="0.35">
      <c r="F405" s="26"/>
      <c r="H405" s="27"/>
      <c r="J405" s="27"/>
      <c r="K405" s="27"/>
    </row>
    <row r="406" spans="6:11" ht="14.25" customHeight="1" x14ac:dyDescent="0.35">
      <c r="F406" s="26"/>
      <c r="H406" s="27"/>
      <c r="J406" s="27"/>
      <c r="K406" s="27"/>
    </row>
    <row r="407" spans="6:11" ht="14.25" customHeight="1" x14ac:dyDescent="0.35">
      <c r="F407" s="26"/>
      <c r="H407" s="27"/>
      <c r="J407" s="27"/>
      <c r="K407" s="27"/>
    </row>
    <row r="408" spans="6:11" ht="14.25" customHeight="1" x14ac:dyDescent="0.35">
      <c r="F408" s="26"/>
      <c r="H408" s="27"/>
      <c r="J408" s="27"/>
      <c r="K408" s="27"/>
    </row>
    <row r="409" spans="6:11" ht="14.25" customHeight="1" x14ac:dyDescent="0.35">
      <c r="F409" s="26"/>
      <c r="H409" s="27"/>
      <c r="J409" s="27"/>
      <c r="K409" s="27"/>
    </row>
    <row r="410" spans="6:11" ht="14.25" customHeight="1" x14ac:dyDescent="0.35">
      <c r="F410" s="26"/>
      <c r="H410" s="27"/>
      <c r="J410" s="27"/>
      <c r="K410" s="27"/>
    </row>
    <row r="411" spans="6:11" ht="14.25" customHeight="1" x14ac:dyDescent="0.35">
      <c r="F411" s="26"/>
      <c r="H411" s="27"/>
      <c r="J411" s="27"/>
      <c r="K411" s="27"/>
    </row>
    <row r="412" spans="6:11" ht="14.25" customHeight="1" x14ac:dyDescent="0.35">
      <c r="F412" s="26"/>
      <c r="H412" s="27"/>
      <c r="J412" s="27"/>
      <c r="K412" s="27"/>
    </row>
    <row r="413" spans="6:11" ht="14.25" customHeight="1" x14ac:dyDescent="0.35">
      <c r="F413" s="26"/>
      <c r="H413" s="27"/>
      <c r="J413" s="27"/>
      <c r="K413" s="27"/>
    </row>
    <row r="414" spans="6:11" ht="14.25" customHeight="1" x14ac:dyDescent="0.35">
      <c r="F414" s="26"/>
      <c r="H414" s="27"/>
      <c r="J414" s="27"/>
      <c r="K414" s="27"/>
    </row>
    <row r="415" spans="6:11" ht="14.25" customHeight="1" x14ac:dyDescent="0.35">
      <c r="F415" s="26"/>
      <c r="H415" s="27"/>
      <c r="J415" s="27"/>
      <c r="K415" s="27"/>
    </row>
    <row r="416" spans="6:11" ht="14.25" customHeight="1" x14ac:dyDescent="0.35">
      <c r="F416" s="26"/>
      <c r="H416" s="27"/>
      <c r="J416" s="27"/>
      <c r="K416" s="27"/>
    </row>
    <row r="417" spans="6:11" ht="14.25" customHeight="1" x14ac:dyDescent="0.35">
      <c r="F417" s="26"/>
      <c r="H417" s="27"/>
      <c r="J417" s="27"/>
      <c r="K417" s="27"/>
    </row>
    <row r="418" spans="6:11" ht="14.25" customHeight="1" x14ac:dyDescent="0.35">
      <c r="F418" s="26"/>
      <c r="H418" s="27"/>
      <c r="J418" s="27"/>
      <c r="K418" s="27"/>
    </row>
    <row r="419" spans="6:11" ht="14.25" customHeight="1" x14ac:dyDescent="0.35">
      <c r="F419" s="26"/>
      <c r="H419" s="27"/>
      <c r="J419" s="27"/>
      <c r="K419" s="27"/>
    </row>
    <row r="420" spans="6:11" ht="14.25" customHeight="1" x14ac:dyDescent="0.35">
      <c r="F420" s="26"/>
      <c r="H420" s="27"/>
      <c r="J420" s="27"/>
      <c r="K420" s="27"/>
    </row>
    <row r="421" spans="6:11" ht="14.25" customHeight="1" x14ac:dyDescent="0.35">
      <c r="F421" s="26"/>
      <c r="H421" s="27"/>
      <c r="J421" s="27"/>
      <c r="K421" s="27"/>
    </row>
    <row r="422" spans="6:11" ht="14.25" customHeight="1" x14ac:dyDescent="0.35">
      <c r="F422" s="26"/>
      <c r="H422" s="27"/>
      <c r="J422" s="27"/>
      <c r="K422" s="27"/>
    </row>
    <row r="423" spans="6:11" ht="14.25" customHeight="1" x14ac:dyDescent="0.35">
      <c r="F423" s="26"/>
      <c r="H423" s="27"/>
      <c r="J423" s="27"/>
      <c r="K423" s="27"/>
    </row>
    <row r="424" spans="6:11" ht="14.25" customHeight="1" x14ac:dyDescent="0.35">
      <c r="F424" s="26"/>
      <c r="H424" s="27"/>
      <c r="J424" s="27"/>
      <c r="K424" s="27"/>
    </row>
    <row r="425" spans="6:11" ht="14.25" customHeight="1" x14ac:dyDescent="0.35">
      <c r="F425" s="26"/>
      <c r="H425" s="27"/>
      <c r="J425" s="27"/>
      <c r="K425" s="27"/>
    </row>
    <row r="426" spans="6:11" ht="14.25" customHeight="1" x14ac:dyDescent="0.35">
      <c r="F426" s="26"/>
      <c r="H426" s="27"/>
      <c r="J426" s="27"/>
      <c r="K426" s="27"/>
    </row>
    <row r="427" spans="6:11" ht="14.25" customHeight="1" x14ac:dyDescent="0.35">
      <c r="F427" s="26"/>
      <c r="H427" s="27"/>
      <c r="J427" s="27"/>
      <c r="K427" s="27"/>
    </row>
    <row r="428" spans="6:11" ht="14.25" customHeight="1" x14ac:dyDescent="0.35">
      <c r="F428" s="26"/>
      <c r="H428" s="27"/>
      <c r="J428" s="27"/>
      <c r="K428" s="27"/>
    </row>
    <row r="429" spans="6:11" ht="14.25" customHeight="1" x14ac:dyDescent="0.35">
      <c r="F429" s="26"/>
      <c r="H429" s="27"/>
      <c r="J429" s="27"/>
      <c r="K429" s="27"/>
    </row>
    <row r="430" spans="6:11" ht="14.25" customHeight="1" x14ac:dyDescent="0.35">
      <c r="F430" s="26"/>
      <c r="H430" s="27"/>
      <c r="J430" s="27"/>
      <c r="K430" s="27"/>
    </row>
    <row r="431" spans="6:11" ht="14.25" customHeight="1" x14ac:dyDescent="0.35">
      <c r="F431" s="26"/>
      <c r="H431" s="27"/>
      <c r="J431" s="27"/>
      <c r="K431" s="27"/>
    </row>
    <row r="432" spans="6:11" ht="14.25" customHeight="1" x14ac:dyDescent="0.35">
      <c r="F432" s="26"/>
      <c r="H432" s="27"/>
      <c r="J432" s="27"/>
      <c r="K432" s="27"/>
    </row>
    <row r="433" spans="6:11" ht="14.25" customHeight="1" x14ac:dyDescent="0.35">
      <c r="F433" s="26"/>
      <c r="H433" s="27"/>
      <c r="J433" s="27"/>
      <c r="K433" s="27"/>
    </row>
    <row r="434" spans="6:11" ht="14.25" customHeight="1" x14ac:dyDescent="0.35">
      <c r="F434" s="26"/>
      <c r="H434" s="27"/>
      <c r="J434" s="27"/>
      <c r="K434" s="27"/>
    </row>
    <row r="435" spans="6:11" ht="14.25" customHeight="1" x14ac:dyDescent="0.35">
      <c r="F435" s="26"/>
      <c r="H435" s="27"/>
      <c r="J435" s="27"/>
      <c r="K435" s="27"/>
    </row>
    <row r="436" spans="6:11" ht="14.25" customHeight="1" x14ac:dyDescent="0.35">
      <c r="F436" s="26"/>
      <c r="H436" s="27"/>
      <c r="J436" s="27"/>
      <c r="K436" s="27"/>
    </row>
    <row r="437" spans="6:11" ht="14.25" customHeight="1" x14ac:dyDescent="0.35">
      <c r="F437" s="26"/>
      <c r="H437" s="27"/>
      <c r="J437" s="27"/>
      <c r="K437" s="27"/>
    </row>
    <row r="438" spans="6:11" ht="14.25" customHeight="1" x14ac:dyDescent="0.35">
      <c r="F438" s="26"/>
      <c r="H438" s="27"/>
      <c r="J438" s="27"/>
      <c r="K438" s="27"/>
    </row>
    <row r="439" spans="6:11" ht="14.25" customHeight="1" x14ac:dyDescent="0.35">
      <c r="F439" s="26"/>
      <c r="H439" s="27"/>
      <c r="J439" s="27"/>
      <c r="K439" s="27"/>
    </row>
    <row r="440" spans="6:11" ht="14.25" customHeight="1" x14ac:dyDescent="0.35">
      <c r="F440" s="26"/>
      <c r="H440" s="27"/>
      <c r="J440" s="27"/>
      <c r="K440" s="27"/>
    </row>
    <row r="441" spans="6:11" ht="14.25" customHeight="1" x14ac:dyDescent="0.35">
      <c r="F441" s="26"/>
      <c r="H441" s="27"/>
      <c r="J441" s="27"/>
      <c r="K441" s="27"/>
    </row>
    <row r="442" spans="6:11" ht="14.25" customHeight="1" x14ac:dyDescent="0.35">
      <c r="F442" s="26"/>
      <c r="H442" s="27"/>
      <c r="J442" s="27"/>
      <c r="K442" s="27"/>
    </row>
    <row r="443" spans="6:11" ht="14.25" customHeight="1" x14ac:dyDescent="0.35">
      <c r="F443" s="26"/>
      <c r="H443" s="27"/>
      <c r="J443" s="27"/>
      <c r="K443" s="27"/>
    </row>
    <row r="444" spans="6:11" ht="14.25" customHeight="1" x14ac:dyDescent="0.35">
      <c r="F444" s="26"/>
      <c r="H444" s="27"/>
      <c r="J444" s="27"/>
      <c r="K444" s="27"/>
    </row>
    <row r="445" spans="6:11" ht="14.25" customHeight="1" x14ac:dyDescent="0.35">
      <c r="F445" s="26"/>
      <c r="H445" s="27"/>
      <c r="J445" s="27"/>
      <c r="K445" s="27"/>
    </row>
    <row r="446" spans="6:11" ht="14.25" customHeight="1" x14ac:dyDescent="0.35">
      <c r="F446" s="26"/>
      <c r="H446" s="27"/>
      <c r="J446" s="27"/>
      <c r="K446" s="27"/>
    </row>
    <row r="447" spans="6:11" ht="14.25" customHeight="1" x14ac:dyDescent="0.35">
      <c r="F447" s="26"/>
      <c r="H447" s="27"/>
      <c r="J447" s="27"/>
      <c r="K447" s="27"/>
    </row>
    <row r="448" spans="6:11" ht="14.25" customHeight="1" x14ac:dyDescent="0.35">
      <c r="F448" s="26"/>
      <c r="H448" s="27"/>
      <c r="J448" s="27"/>
      <c r="K448" s="27"/>
    </row>
    <row r="449" spans="6:11" ht="14.25" customHeight="1" x14ac:dyDescent="0.35">
      <c r="F449" s="26"/>
      <c r="H449" s="27"/>
      <c r="J449" s="27"/>
      <c r="K449" s="27"/>
    </row>
    <row r="450" spans="6:11" ht="14.25" customHeight="1" x14ac:dyDescent="0.35">
      <c r="F450" s="26"/>
      <c r="H450" s="27"/>
      <c r="J450" s="27"/>
      <c r="K450" s="27"/>
    </row>
    <row r="451" spans="6:11" ht="14.25" customHeight="1" x14ac:dyDescent="0.35">
      <c r="F451" s="26"/>
      <c r="H451" s="27"/>
      <c r="J451" s="27"/>
      <c r="K451" s="27"/>
    </row>
    <row r="452" spans="6:11" ht="14.25" customHeight="1" x14ac:dyDescent="0.35">
      <c r="F452" s="26"/>
      <c r="H452" s="27"/>
      <c r="J452" s="27"/>
      <c r="K452" s="27"/>
    </row>
    <row r="453" spans="6:11" ht="14.25" customHeight="1" x14ac:dyDescent="0.35">
      <c r="F453" s="26"/>
      <c r="H453" s="27"/>
      <c r="J453" s="27"/>
      <c r="K453" s="27"/>
    </row>
    <row r="454" spans="6:11" ht="14.25" customHeight="1" x14ac:dyDescent="0.35">
      <c r="F454" s="26"/>
      <c r="H454" s="27"/>
      <c r="J454" s="27"/>
      <c r="K454" s="27"/>
    </row>
    <row r="455" spans="6:11" ht="14.25" customHeight="1" x14ac:dyDescent="0.35">
      <c r="F455" s="26"/>
      <c r="H455" s="27"/>
      <c r="J455" s="27"/>
      <c r="K455" s="27"/>
    </row>
    <row r="456" spans="6:11" ht="14.25" customHeight="1" x14ac:dyDescent="0.35">
      <c r="F456" s="26"/>
      <c r="H456" s="27"/>
      <c r="J456" s="27"/>
      <c r="K456" s="27"/>
    </row>
    <row r="457" spans="6:11" ht="14.25" customHeight="1" x14ac:dyDescent="0.35">
      <c r="F457" s="26"/>
      <c r="H457" s="27"/>
      <c r="J457" s="27"/>
      <c r="K457" s="27"/>
    </row>
    <row r="458" spans="6:11" ht="14.25" customHeight="1" x14ac:dyDescent="0.35">
      <c r="F458" s="26"/>
      <c r="H458" s="27"/>
      <c r="J458" s="27"/>
      <c r="K458" s="27"/>
    </row>
    <row r="459" spans="6:11" ht="14.25" customHeight="1" x14ac:dyDescent="0.35">
      <c r="F459" s="26"/>
      <c r="H459" s="27"/>
      <c r="J459" s="27"/>
      <c r="K459" s="27"/>
    </row>
    <row r="460" spans="6:11" ht="14.25" customHeight="1" x14ac:dyDescent="0.35">
      <c r="F460" s="26"/>
      <c r="H460" s="27"/>
      <c r="J460" s="27"/>
      <c r="K460" s="27"/>
    </row>
    <row r="461" spans="6:11" ht="14.25" customHeight="1" x14ac:dyDescent="0.35">
      <c r="F461" s="26"/>
      <c r="H461" s="27"/>
      <c r="J461" s="27"/>
      <c r="K461" s="27"/>
    </row>
    <row r="462" spans="6:11" ht="14.25" customHeight="1" x14ac:dyDescent="0.35">
      <c r="F462" s="26"/>
      <c r="H462" s="27"/>
      <c r="J462" s="27"/>
      <c r="K462" s="27"/>
    </row>
    <row r="463" spans="6:11" ht="14.25" customHeight="1" x14ac:dyDescent="0.35">
      <c r="F463" s="26"/>
      <c r="H463" s="27"/>
      <c r="J463" s="27"/>
      <c r="K463" s="27"/>
    </row>
    <row r="464" spans="6:11" ht="14.25" customHeight="1" x14ac:dyDescent="0.35">
      <c r="F464" s="26"/>
      <c r="H464" s="27"/>
      <c r="J464" s="27"/>
      <c r="K464" s="27"/>
    </row>
    <row r="465" spans="6:11" ht="14.25" customHeight="1" x14ac:dyDescent="0.35">
      <c r="F465" s="26"/>
      <c r="H465" s="27"/>
      <c r="J465" s="27"/>
      <c r="K465" s="27"/>
    </row>
    <row r="466" spans="6:11" ht="14.25" customHeight="1" x14ac:dyDescent="0.35">
      <c r="F466" s="26"/>
      <c r="H466" s="27"/>
      <c r="J466" s="27"/>
      <c r="K466" s="27"/>
    </row>
    <row r="467" spans="6:11" ht="14.25" customHeight="1" x14ac:dyDescent="0.35">
      <c r="F467" s="26"/>
      <c r="H467" s="27"/>
      <c r="J467" s="27"/>
      <c r="K467" s="27"/>
    </row>
    <row r="468" spans="6:11" ht="14.25" customHeight="1" x14ac:dyDescent="0.35">
      <c r="F468" s="26"/>
      <c r="H468" s="27"/>
      <c r="J468" s="27"/>
      <c r="K468" s="27"/>
    </row>
    <row r="469" spans="6:11" ht="14.25" customHeight="1" x14ac:dyDescent="0.35">
      <c r="F469" s="26"/>
      <c r="H469" s="27"/>
      <c r="J469" s="27"/>
      <c r="K469" s="27"/>
    </row>
    <row r="470" spans="6:11" ht="14.25" customHeight="1" x14ac:dyDescent="0.35">
      <c r="F470" s="26"/>
      <c r="H470" s="27"/>
      <c r="J470" s="27"/>
      <c r="K470" s="27"/>
    </row>
    <row r="471" spans="6:11" ht="14.25" customHeight="1" x14ac:dyDescent="0.35">
      <c r="F471" s="26"/>
      <c r="H471" s="27"/>
      <c r="J471" s="27"/>
      <c r="K471" s="27"/>
    </row>
    <row r="472" spans="6:11" ht="14.25" customHeight="1" x14ac:dyDescent="0.35">
      <c r="F472" s="26"/>
      <c r="H472" s="27"/>
      <c r="J472" s="27"/>
      <c r="K472" s="27"/>
    </row>
    <row r="473" spans="6:11" ht="14.25" customHeight="1" x14ac:dyDescent="0.35">
      <c r="F473" s="26"/>
      <c r="H473" s="27"/>
      <c r="J473" s="27"/>
      <c r="K473" s="27"/>
    </row>
    <row r="474" spans="6:11" ht="14.25" customHeight="1" x14ac:dyDescent="0.35">
      <c r="F474" s="26"/>
      <c r="H474" s="27"/>
      <c r="J474" s="27"/>
      <c r="K474" s="27"/>
    </row>
    <row r="475" spans="6:11" ht="14.25" customHeight="1" x14ac:dyDescent="0.35">
      <c r="F475" s="26"/>
      <c r="H475" s="27"/>
      <c r="J475" s="27"/>
      <c r="K475" s="27"/>
    </row>
    <row r="476" spans="6:11" ht="14.25" customHeight="1" x14ac:dyDescent="0.35">
      <c r="F476" s="26"/>
      <c r="H476" s="27"/>
      <c r="J476" s="27"/>
      <c r="K476" s="27"/>
    </row>
    <row r="477" spans="6:11" ht="14.25" customHeight="1" x14ac:dyDescent="0.35">
      <c r="F477" s="26"/>
      <c r="H477" s="27"/>
      <c r="J477" s="27"/>
      <c r="K477" s="27"/>
    </row>
    <row r="478" spans="6:11" ht="14.25" customHeight="1" x14ac:dyDescent="0.35">
      <c r="F478" s="26"/>
      <c r="H478" s="27"/>
      <c r="J478" s="27"/>
      <c r="K478" s="27"/>
    </row>
    <row r="479" spans="6:11" ht="14.25" customHeight="1" x14ac:dyDescent="0.35">
      <c r="F479" s="26"/>
      <c r="H479" s="27"/>
      <c r="J479" s="27"/>
      <c r="K479" s="27"/>
    </row>
    <row r="480" spans="6:11" ht="14.25" customHeight="1" x14ac:dyDescent="0.35">
      <c r="F480" s="26"/>
      <c r="H480" s="27"/>
      <c r="J480" s="27"/>
      <c r="K480" s="27"/>
    </row>
    <row r="481" spans="6:11" ht="14.25" customHeight="1" x14ac:dyDescent="0.35">
      <c r="F481" s="26"/>
      <c r="H481" s="27"/>
      <c r="J481" s="27"/>
      <c r="K481" s="27"/>
    </row>
    <row r="482" spans="6:11" ht="14.25" customHeight="1" x14ac:dyDescent="0.35">
      <c r="F482" s="26"/>
      <c r="H482" s="27"/>
      <c r="J482" s="27"/>
      <c r="K482" s="27"/>
    </row>
    <row r="483" spans="6:11" ht="14.25" customHeight="1" x14ac:dyDescent="0.35">
      <c r="F483" s="26"/>
      <c r="H483" s="27"/>
      <c r="J483" s="27"/>
      <c r="K483" s="27"/>
    </row>
    <row r="484" spans="6:11" ht="14.25" customHeight="1" x14ac:dyDescent="0.35">
      <c r="F484" s="26"/>
      <c r="H484" s="27"/>
      <c r="J484" s="27"/>
      <c r="K484" s="27"/>
    </row>
    <row r="485" spans="6:11" ht="14.25" customHeight="1" x14ac:dyDescent="0.35">
      <c r="F485" s="26"/>
      <c r="H485" s="27"/>
      <c r="J485" s="27"/>
      <c r="K485" s="27"/>
    </row>
    <row r="486" spans="6:11" ht="14.25" customHeight="1" x14ac:dyDescent="0.35">
      <c r="F486" s="26"/>
      <c r="H486" s="27"/>
      <c r="J486" s="27"/>
      <c r="K486" s="27"/>
    </row>
    <row r="487" spans="6:11" ht="14.25" customHeight="1" x14ac:dyDescent="0.35">
      <c r="F487" s="26"/>
      <c r="H487" s="27"/>
      <c r="J487" s="27"/>
      <c r="K487" s="27"/>
    </row>
    <row r="488" spans="6:11" ht="14.25" customHeight="1" x14ac:dyDescent="0.35">
      <c r="F488" s="26"/>
      <c r="H488" s="27"/>
      <c r="J488" s="27"/>
      <c r="K488" s="27"/>
    </row>
    <row r="489" spans="6:11" ht="14.25" customHeight="1" x14ac:dyDescent="0.35">
      <c r="F489" s="26"/>
      <c r="H489" s="27"/>
      <c r="J489" s="27"/>
      <c r="K489" s="27"/>
    </row>
    <row r="490" spans="6:11" ht="14.25" customHeight="1" x14ac:dyDescent="0.35">
      <c r="F490" s="26"/>
      <c r="H490" s="27"/>
      <c r="J490" s="27"/>
      <c r="K490" s="27"/>
    </row>
    <row r="491" spans="6:11" ht="14.25" customHeight="1" x14ac:dyDescent="0.35">
      <c r="F491" s="26"/>
      <c r="H491" s="27"/>
      <c r="J491" s="27"/>
      <c r="K491" s="27"/>
    </row>
    <row r="492" spans="6:11" ht="14.25" customHeight="1" x14ac:dyDescent="0.35">
      <c r="F492" s="26"/>
      <c r="H492" s="27"/>
      <c r="J492" s="27"/>
      <c r="K492" s="27"/>
    </row>
    <row r="493" spans="6:11" ht="14.25" customHeight="1" x14ac:dyDescent="0.35">
      <c r="F493" s="26"/>
      <c r="H493" s="27"/>
      <c r="J493" s="27"/>
      <c r="K493" s="27"/>
    </row>
    <row r="494" spans="6:11" ht="14.25" customHeight="1" x14ac:dyDescent="0.35">
      <c r="F494" s="26"/>
      <c r="H494" s="27"/>
      <c r="J494" s="27"/>
      <c r="K494" s="27"/>
    </row>
    <row r="495" spans="6:11" ht="14.25" customHeight="1" x14ac:dyDescent="0.35">
      <c r="F495" s="26"/>
      <c r="H495" s="27"/>
      <c r="J495" s="27"/>
      <c r="K495" s="27"/>
    </row>
    <row r="496" spans="6:11" ht="14.25" customHeight="1" x14ac:dyDescent="0.35">
      <c r="F496" s="26"/>
      <c r="H496" s="27"/>
      <c r="J496" s="27"/>
      <c r="K496" s="27"/>
    </row>
    <row r="497" spans="6:11" ht="14.25" customHeight="1" x14ac:dyDescent="0.35">
      <c r="F497" s="26"/>
      <c r="H497" s="27"/>
      <c r="J497" s="27"/>
      <c r="K497" s="27"/>
    </row>
    <row r="498" spans="6:11" ht="14.25" customHeight="1" x14ac:dyDescent="0.35">
      <c r="F498" s="26"/>
      <c r="H498" s="27"/>
      <c r="J498" s="27"/>
      <c r="K498" s="27"/>
    </row>
    <row r="499" spans="6:11" ht="14.25" customHeight="1" x14ac:dyDescent="0.35">
      <c r="F499" s="26"/>
      <c r="H499" s="27"/>
      <c r="J499" s="27"/>
      <c r="K499" s="27"/>
    </row>
    <row r="500" spans="6:11" ht="14.25" customHeight="1" x14ac:dyDescent="0.35">
      <c r="F500" s="26"/>
      <c r="H500" s="27"/>
      <c r="J500" s="27"/>
      <c r="K500" s="27"/>
    </row>
    <row r="501" spans="6:11" ht="14.25" customHeight="1" x14ac:dyDescent="0.35">
      <c r="F501" s="26"/>
      <c r="H501" s="27"/>
      <c r="J501" s="27"/>
      <c r="K501" s="27"/>
    </row>
    <row r="502" spans="6:11" ht="14.25" customHeight="1" x14ac:dyDescent="0.35">
      <c r="F502" s="26"/>
      <c r="H502" s="27"/>
      <c r="J502" s="27"/>
      <c r="K502" s="27"/>
    </row>
    <row r="503" spans="6:11" ht="14.25" customHeight="1" x14ac:dyDescent="0.35">
      <c r="F503" s="26"/>
      <c r="H503" s="27"/>
      <c r="J503" s="27"/>
      <c r="K503" s="27"/>
    </row>
    <row r="504" spans="6:11" ht="14.25" customHeight="1" x14ac:dyDescent="0.35">
      <c r="F504" s="26"/>
      <c r="H504" s="27"/>
      <c r="J504" s="27"/>
      <c r="K504" s="27"/>
    </row>
    <row r="505" spans="6:11" ht="14.25" customHeight="1" x14ac:dyDescent="0.35">
      <c r="F505" s="26"/>
      <c r="H505" s="27"/>
      <c r="J505" s="27"/>
      <c r="K505" s="27"/>
    </row>
    <row r="506" spans="6:11" ht="14.25" customHeight="1" x14ac:dyDescent="0.35">
      <c r="F506" s="26"/>
      <c r="H506" s="27"/>
      <c r="J506" s="27"/>
      <c r="K506" s="27"/>
    </row>
    <row r="507" spans="6:11" ht="14.25" customHeight="1" x14ac:dyDescent="0.35">
      <c r="F507" s="26"/>
      <c r="H507" s="27"/>
      <c r="J507" s="27"/>
      <c r="K507" s="27"/>
    </row>
    <row r="508" spans="6:11" ht="14.25" customHeight="1" x14ac:dyDescent="0.35">
      <c r="F508" s="26"/>
      <c r="H508" s="27"/>
      <c r="J508" s="27"/>
      <c r="K508" s="27"/>
    </row>
    <row r="509" spans="6:11" ht="14.25" customHeight="1" x14ac:dyDescent="0.35">
      <c r="F509" s="26"/>
      <c r="H509" s="27"/>
      <c r="J509" s="27"/>
      <c r="K509" s="27"/>
    </row>
    <row r="510" spans="6:11" ht="14.25" customHeight="1" x14ac:dyDescent="0.35">
      <c r="F510" s="26"/>
      <c r="H510" s="27"/>
      <c r="J510" s="27"/>
      <c r="K510" s="27"/>
    </row>
    <row r="511" spans="6:11" ht="14.25" customHeight="1" x14ac:dyDescent="0.35">
      <c r="F511" s="26"/>
      <c r="H511" s="27"/>
      <c r="J511" s="27"/>
      <c r="K511" s="27"/>
    </row>
    <row r="512" spans="6:11" ht="14.25" customHeight="1" x14ac:dyDescent="0.35">
      <c r="F512" s="26"/>
      <c r="H512" s="27"/>
      <c r="J512" s="27"/>
      <c r="K512" s="27"/>
    </row>
    <row r="513" spans="6:11" ht="14.25" customHeight="1" x14ac:dyDescent="0.35">
      <c r="F513" s="26"/>
      <c r="H513" s="27"/>
      <c r="J513" s="27"/>
      <c r="K513" s="27"/>
    </row>
    <row r="514" spans="6:11" ht="14.25" customHeight="1" x14ac:dyDescent="0.35">
      <c r="F514" s="26"/>
      <c r="H514" s="27"/>
      <c r="J514" s="27"/>
      <c r="K514" s="27"/>
    </row>
    <row r="515" spans="6:11" ht="14.25" customHeight="1" x14ac:dyDescent="0.35">
      <c r="F515" s="26"/>
      <c r="H515" s="27"/>
      <c r="J515" s="27"/>
      <c r="K515" s="27"/>
    </row>
    <row r="516" spans="6:11" ht="14.25" customHeight="1" x14ac:dyDescent="0.35">
      <c r="F516" s="26"/>
      <c r="H516" s="27"/>
      <c r="J516" s="27"/>
      <c r="K516" s="27"/>
    </row>
    <row r="517" spans="6:11" ht="14.25" customHeight="1" x14ac:dyDescent="0.35">
      <c r="F517" s="26"/>
      <c r="H517" s="27"/>
      <c r="J517" s="27"/>
      <c r="K517" s="27"/>
    </row>
    <row r="518" spans="6:11" ht="14.25" customHeight="1" x14ac:dyDescent="0.35">
      <c r="F518" s="26"/>
      <c r="H518" s="27"/>
      <c r="J518" s="27"/>
      <c r="K518" s="27"/>
    </row>
    <row r="519" spans="6:11" ht="14.25" customHeight="1" x14ac:dyDescent="0.35">
      <c r="F519" s="26"/>
      <c r="H519" s="27"/>
      <c r="J519" s="27"/>
      <c r="K519" s="27"/>
    </row>
    <row r="520" spans="6:11" ht="14.25" customHeight="1" x14ac:dyDescent="0.35">
      <c r="F520" s="26"/>
      <c r="H520" s="27"/>
      <c r="J520" s="27"/>
      <c r="K520" s="27"/>
    </row>
    <row r="521" spans="6:11" ht="14.25" customHeight="1" x14ac:dyDescent="0.35">
      <c r="F521" s="26"/>
      <c r="H521" s="27"/>
      <c r="J521" s="27"/>
      <c r="K521" s="27"/>
    </row>
    <row r="522" spans="6:11" ht="14.25" customHeight="1" x14ac:dyDescent="0.35">
      <c r="F522" s="26"/>
      <c r="H522" s="27"/>
      <c r="J522" s="27"/>
      <c r="K522" s="27"/>
    </row>
    <row r="523" spans="6:11" ht="14.25" customHeight="1" x14ac:dyDescent="0.35">
      <c r="F523" s="26"/>
      <c r="H523" s="27"/>
      <c r="J523" s="27"/>
      <c r="K523" s="27"/>
    </row>
    <row r="524" spans="6:11" ht="14.25" customHeight="1" x14ac:dyDescent="0.35">
      <c r="F524" s="26"/>
      <c r="H524" s="27"/>
      <c r="J524" s="27"/>
      <c r="K524" s="27"/>
    </row>
    <row r="525" spans="6:11" ht="14.25" customHeight="1" x14ac:dyDescent="0.35">
      <c r="F525" s="26"/>
      <c r="H525" s="27"/>
      <c r="J525" s="27"/>
      <c r="K525" s="27"/>
    </row>
    <row r="526" spans="6:11" ht="14.25" customHeight="1" x14ac:dyDescent="0.35">
      <c r="F526" s="26"/>
      <c r="H526" s="27"/>
      <c r="J526" s="27"/>
      <c r="K526" s="27"/>
    </row>
    <row r="527" spans="6:11" ht="14.25" customHeight="1" x14ac:dyDescent="0.35">
      <c r="F527" s="26"/>
      <c r="H527" s="27"/>
      <c r="J527" s="27"/>
      <c r="K527" s="27"/>
    </row>
    <row r="528" spans="6:11" ht="14.25" customHeight="1" x14ac:dyDescent="0.35">
      <c r="F528" s="26"/>
      <c r="H528" s="27"/>
      <c r="J528" s="27"/>
      <c r="K528" s="27"/>
    </row>
    <row r="529" spans="6:11" ht="14.25" customHeight="1" x14ac:dyDescent="0.35">
      <c r="F529" s="26"/>
      <c r="H529" s="27"/>
      <c r="J529" s="27"/>
      <c r="K529" s="27"/>
    </row>
    <row r="530" spans="6:11" ht="14.25" customHeight="1" x14ac:dyDescent="0.35">
      <c r="F530" s="26"/>
      <c r="H530" s="27"/>
      <c r="J530" s="27"/>
      <c r="K530" s="27"/>
    </row>
    <row r="531" spans="6:11" ht="14.25" customHeight="1" x14ac:dyDescent="0.35">
      <c r="F531" s="26"/>
      <c r="H531" s="27"/>
      <c r="J531" s="27"/>
      <c r="K531" s="27"/>
    </row>
    <row r="532" spans="6:11" ht="14.25" customHeight="1" x14ac:dyDescent="0.35">
      <c r="F532" s="26"/>
      <c r="H532" s="27"/>
      <c r="J532" s="27"/>
      <c r="K532" s="27"/>
    </row>
    <row r="533" spans="6:11" ht="14.25" customHeight="1" x14ac:dyDescent="0.35">
      <c r="F533" s="26"/>
      <c r="H533" s="27"/>
      <c r="J533" s="27"/>
      <c r="K533" s="27"/>
    </row>
    <row r="534" spans="6:11" ht="14.25" customHeight="1" x14ac:dyDescent="0.35">
      <c r="F534" s="26"/>
      <c r="H534" s="27"/>
      <c r="J534" s="27"/>
      <c r="K534" s="27"/>
    </row>
    <row r="535" spans="6:11" ht="14.25" customHeight="1" x14ac:dyDescent="0.35">
      <c r="F535" s="26"/>
      <c r="H535" s="27"/>
      <c r="J535" s="27"/>
      <c r="K535" s="27"/>
    </row>
    <row r="536" spans="6:11" ht="14.25" customHeight="1" x14ac:dyDescent="0.35">
      <c r="F536" s="26"/>
      <c r="H536" s="27"/>
      <c r="J536" s="27"/>
      <c r="K536" s="27"/>
    </row>
    <row r="537" spans="6:11" ht="14.25" customHeight="1" x14ac:dyDescent="0.35">
      <c r="F537" s="26"/>
      <c r="H537" s="27"/>
      <c r="J537" s="27"/>
      <c r="K537" s="27"/>
    </row>
    <row r="538" spans="6:11" ht="14.25" customHeight="1" x14ac:dyDescent="0.35">
      <c r="F538" s="26"/>
      <c r="H538" s="27"/>
      <c r="J538" s="27"/>
      <c r="K538" s="27"/>
    </row>
    <row r="539" spans="6:11" ht="14.25" customHeight="1" x14ac:dyDescent="0.35">
      <c r="F539" s="26"/>
      <c r="H539" s="27"/>
      <c r="J539" s="27"/>
      <c r="K539" s="27"/>
    </row>
    <row r="540" spans="6:11" ht="14.25" customHeight="1" x14ac:dyDescent="0.35">
      <c r="F540" s="26"/>
      <c r="H540" s="27"/>
      <c r="J540" s="27"/>
      <c r="K540" s="27"/>
    </row>
    <row r="541" spans="6:11" ht="14.25" customHeight="1" x14ac:dyDescent="0.35">
      <c r="F541" s="26"/>
      <c r="H541" s="27"/>
      <c r="J541" s="27"/>
      <c r="K541" s="27"/>
    </row>
    <row r="542" spans="6:11" ht="14.25" customHeight="1" x14ac:dyDescent="0.35">
      <c r="F542" s="26"/>
      <c r="H542" s="27"/>
      <c r="J542" s="27"/>
      <c r="K542" s="27"/>
    </row>
    <row r="543" spans="6:11" ht="14.25" customHeight="1" x14ac:dyDescent="0.35">
      <c r="F543" s="26"/>
      <c r="H543" s="27"/>
      <c r="J543" s="27"/>
      <c r="K543" s="27"/>
    </row>
    <row r="544" spans="6:11" ht="14.25" customHeight="1" x14ac:dyDescent="0.35">
      <c r="F544" s="26"/>
      <c r="H544" s="27"/>
      <c r="J544" s="27"/>
      <c r="K544" s="27"/>
    </row>
    <row r="545" spans="6:11" ht="14.25" customHeight="1" x14ac:dyDescent="0.35">
      <c r="F545" s="26"/>
      <c r="H545" s="27"/>
      <c r="J545" s="27"/>
      <c r="K545" s="27"/>
    </row>
    <row r="546" spans="6:11" ht="14.25" customHeight="1" x14ac:dyDescent="0.35">
      <c r="F546" s="26"/>
      <c r="H546" s="27"/>
      <c r="J546" s="27"/>
      <c r="K546" s="27"/>
    </row>
    <row r="547" spans="6:11" ht="14.25" customHeight="1" x14ac:dyDescent="0.35">
      <c r="F547" s="26"/>
      <c r="H547" s="27"/>
      <c r="J547" s="27"/>
      <c r="K547" s="27"/>
    </row>
    <row r="548" spans="6:11" ht="14.25" customHeight="1" x14ac:dyDescent="0.35">
      <c r="F548" s="26"/>
      <c r="H548" s="27"/>
      <c r="J548" s="27"/>
      <c r="K548" s="27"/>
    </row>
    <row r="549" spans="6:11" ht="14.25" customHeight="1" x14ac:dyDescent="0.35">
      <c r="F549" s="26"/>
      <c r="H549" s="27"/>
      <c r="J549" s="27"/>
      <c r="K549" s="27"/>
    </row>
    <row r="550" spans="6:11" ht="14.25" customHeight="1" x14ac:dyDescent="0.35">
      <c r="F550" s="26"/>
      <c r="H550" s="27"/>
      <c r="J550" s="27"/>
      <c r="K550" s="27"/>
    </row>
    <row r="551" spans="6:11" ht="14.25" customHeight="1" x14ac:dyDescent="0.35">
      <c r="F551" s="26"/>
      <c r="H551" s="27"/>
      <c r="J551" s="27"/>
      <c r="K551" s="27"/>
    </row>
    <row r="552" spans="6:11" ht="14.25" customHeight="1" x14ac:dyDescent="0.35">
      <c r="F552" s="26"/>
      <c r="H552" s="27"/>
      <c r="J552" s="27"/>
      <c r="K552" s="27"/>
    </row>
    <row r="553" spans="6:11" ht="14.25" customHeight="1" x14ac:dyDescent="0.35">
      <c r="F553" s="26"/>
      <c r="H553" s="27"/>
      <c r="J553" s="27"/>
      <c r="K553" s="27"/>
    </row>
    <row r="554" spans="6:11" ht="14.25" customHeight="1" x14ac:dyDescent="0.35">
      <c r="F554" s="26"/>
      <c r="H554" s="27"/>
      <c r="J554" s="27"/>
      <c r="K554" s="27"/>
    </row>
    <row r="555" spans="6:11" ht="14.25" customHeight="1" x14ac:dyDescent="0.35">
      <c r="F555" s="26"/>
      <c r="H555" s="27"/>
      <c r="J555" s="27"/>
      <c r="K555" s="27"/>
    </row>
    <row r="556" spans="6:11" ht="14.25" customHeight="1" x14ac:dyDescent="0.35">
      <c r="F556" s="26"/>
      <c r="H556" s="27"/>
      <c r="J556" s="27"/>
      <c r="K556" s="27"/>
    </row>
    <row r="557" spans="6:11" ht="14.25" customHeight="1" x14ac:dyDescent="0.35">
      <c r="F557" s="26"/>
      <c r="H557" s="27"/>
      <c r="J557" s="27"/>
      <c r="K557" s="27"/>
    </row>
    <row r="558" spans="6:11" ht="14.25" customHeight="1" x14ac:dyDescent="0.35">
      <c r="F558" s="26"/>
      <c r="H558" s="27"/>
      <c r="J558" s="27"/>
      <c r="K558" s="27"/>
    </row>
    <row r="559" spans="6:11" ht="14.25" customHeight="1" x14ac:dyDescent="0.35">
      <c r="F559" s="26"/>
      <c r="H559" s="27"/>
      <c r="J559" s="27"/>
      <c r="K559" s="27"/>
    </row>
    <row r="560" spans="6:11" ht="14.25" customHeight="1" x14ac:dyDescent="0.35">
      <c r="F560" s="26"/>
      <c r="H560" s="27"/>
      <c r="J560" s="27"/>
      <c r="K560" s="27"/>
    </row>
    <row r="561" spans="6:11" ht="14.25" customHeight="1" x14ac:dyDescent="0.35">
      <c r="F561" s="26"/>
      <c r="H561" s="27"/>
      <c r="J561" s="27"/>
      <c r="K561" s="27"/>
    </row>
    <row r="562" spans="6:11" ht="14.25" customHeight="1" x14ac:dyDescent="0.35">
      <c r="F562" s="26"/>
      <c r="H562" s="27"/>
      <c r="J562" s="27"/>
      <c r="K562" s="27"/>
    </row>
    <row r="563" spans="6:11" ht="14.25" customHeight="1" x14ac:dyDescent="0.35">
      <c r="F563" s="26"/>
      <c r="H563" s="27"/>
      <c r="J563" s="27"/>
      <c r="K563" s="27"/>
    </row>
    <row r="564" spans="6:11" ht="14.25" customHeight="1" x14ac:dyDescent="0.35">
      <c r="F564" s="26"/>
      <c r="H564" s="27"/>
      <c r="J564" s="27"/>
      <c r="K564" s="27"/>
    </row>
    <row r="565" spans="6:11" ht="14.25" customHeight="1" x14ac:dyDescent="0.35">
      <c r="F565" s="26"/>
      <c r="H565" s="27"/>
      <c r="J565" s="27"/>
      <c r="K565" s="27"/>
    </row>
    <row r="566" spans="6:11" ht="14.25" customHeight="1" x14ac:dyDescent="0.35">
      <c r="F566" s="26"/>
      <c r="H566" s="27"/>
      <c r="J566" s="27"/>
      <c r="K566" s="27"/>
    </row>
    <row r="567" spans="6:11" ht="14.25" customHeight="1" x14ac:dyDescent="0.35">
      <c r="F567" s="26"/>
      <c r="H567" s="27"/>
      <c r="J567" s="27"/>
      <c r="K567" s="27"/>
    </row>
    <row r="568" spans="6:11" ht="14.25" customHeight="1" x14ac:dyDescent="0.35">
      <c r="F568" s="26"/>
      <c r="H568" s="27"/>
      <c r="J568" s="27"/>
      <c r="K568" s="27"/>
    </row>
    <row r="569" spans="6:11" ht="14.25" customHeight="1" x14ac:dyDescent="0.35">
      <c r="F569" s="26"/>
      <c r="H569" s="27"/>
      <c r="J569" s="27"/>
      <c r="K569" s="27"/>
    </row>
    <row r="570" spans="6:11" ht="14.25" customHeight="1" x14ac:dyDescent="0.35">
      <c r="F570" s="26"/>
      <c r="H570" s="27"/>
      <c r="J570" s="27"/>
      <c r="K570" s="27"/>
    </row>
    <row r="571" spans="6:11" ht="14.25" customHeight="1" x14ac:dyDescent="0.35">
      <c r="F571" s="26"/>
      <c r="H571" s="27"/>
      <c r="J571" s="27"/>
      <c r="K571" s="27"/>
    </row>
    <row r="572" spans="6:11" ht="14.25" customHeight="1" x14ac:dyDescent="0.35">
      <c r="F572" s="26"/>
      <c r="H572" s="27"/>
      <c r="J572" s="27"/>
      <c r="K572" s="27"/>
    </row>
    <row r="573" spans="6:11" ht="14.25" customHeight="1" x14ac:dyDescent="0.35">
      <c r="F573" s="26"/>
      <c r="H573" s="27"/>
      <c r="J573" s="27"/>
      <c r="K573" s="27"/>
    </row>
    <row r="574" spans="6:11" ht="14.25" customHeight="1" x14ac:dyDescent="0.35">
      <c r="F574" s="26"/>
      <c r="H574" s="27"/>
      <c r="J574" s="27"/>
      <c r="K574" s="27"/>
    </row>
    <row r="575" spans="6:11" ht="14.25" customHeight="1" x14ac:dyDescent="0.35">
      <c r="F575" s="26"/>
      <c r="H575" s="27"/>
      <c r="J575" s="27"/>
      <c r="K575" s="27"/>
    </row>
    <row r="576" spans="6:11" ht="14.25" customHeight="1" x14ac:dyDescent="0.35">
      <c r="F576" s="26"/>
      <c r="H576" s="27"/>
      <c r="J576" s="27"/>
      <c r="K576" s="27"/>
    </row>
    <row r="577" spans="6:11" ht="14.25" customHeight="1" x14ac:dyDescent="0.35">
      <c r="F577" s="26"/>
      <c r="H577" s="27"/>
      <c r="J577" s="27"/>
      <c r="K577" s="27"/>
    </row>
    <row r="578" spans="6:11" ht="14.25" customHeight="1" x14ac:dyDescent="0.35">
      <c r="F578" s="26"/>
      <c r="H578" s="27"/>
      <c r="J578" s="27"/>
      <c r="K578" s="27"/>
    </row>
    <row r="579" spans="6:11" ht="14.25" customHeight="1" x14ac:dyDescent="0.35">
      <c r="F579" s="26"/>
      <c r="H579" s="27"/>
      <c r="J579" s="27"/>
      <c r="K579" s="27"/>
    </row>
    <row r="580" spans="6:11" ht="14.25" customHeight="1" x14ac:dyDescent="0.35">
      <c r="F580" s="26"/>
      <c r="H580" s="27"/>
      <c r="J580" s="27"/>
      <c r="K580" s="27"/>
    </row>
    <row r="581" spans="6:11" ht="14.25" customHeight="1" x14ac:dyDescent="0.35">
      <c r="F581" s="26"/>
      <c r="H581" s="27"/>
      <c r="J581" s="27"/>
      <c r="K581" s="27"/>
    </row>
    <row r="582" spans="6:11" ht="14.25" customHeight="1" x14ac:dyDescent="0.35">
      <c r="F582" s="26"/>
      <c r="H582" s="27"/>
      <c r="J582" s="27"/>
      <c r="K582" s="27"/>
    </row>
    <row r="583" spans="6:11" ht="14.25" customHeight="1" x14ac:dyDescent="0.35">
      <c r="F583" s="26"/>
      <c r="H583" s="27"/>
      <c r="J583" s="27"/>
      <c r="K583" s="27"/>
    </row>
    <row r="584" spans="6:11" ht="14.25" customHeight="1" x14ac:dyDescent="0.35">
      <c r="F584" s="26"/>
      <c r="H584" s="27"/>
      <c r="J584" s="27"/>
      <c r="K584" s="27"/>
    </row>
    <row r="585" spans="6:11" ht="14.25" customHeight="1" x14ac:dyDescent="0.35">
      <c r="F585" s="26"/>
      <c r="H585" s="27"/>
      <c r="J585" s="27"/>
      <c r="K585" s="27"/>
    </row>
    <row r="586" spans="6:11" ht="14.25" customHeight="1" x14ac:dyDescent="0.35">
      <c r="F586" s="26"/>
      <c r="H586" s="27"/>
      <c r="J586" s="27"/>
      <c r="K586" s="27"/>
    </row>
    <row r="587" spans="6:11" ht="14.25" customHeight="1" x14ac:dyDescent="0.35">
      <c r="F587" s="26"/>
      <c r="H587" s="27"/>
      <c r="J587" s="27"/>
      <c r="K587" s="27"/>
    </row>
    <row r="588" spans="6:11" ht="14.25" customHeight="1" x14ac:dyDescent="0.35">
      <c r="F588" s="26"/>
      <c r="H588" s="27"/>
      <c r="J588" s="27"/>
      <c r="K588" s="27"/>
    </row>
    <row r="589" spans="6:11" ht="14.25" customHeight="1" x14ac:dyDescent="0.35">
      <c r="F589" s="26"/>
      <c r="H589" s="27"/>
      <c r="J589" s="27"/>
      <c r="K589" s="27"/>
    </row>
    <row r="590" spans="6:11" ht="14.25" customHeight="1" x14ac:dyDescent="0.35">
      <c r="F590" s="26"/>
      <c r="H590" s="27"/>
      <c r="J590" s="27"/>
      <c r="K590" s="27"/>
    </row>
    <row r="591" spans="6:11" ht="14.25" customHeight="1" x14ac:dyDescent="0.35">
      <c r="F591" s="26"/>
      <c r="H591" s="27"/>
      <c r="J591" s="27"/>
      <c r="K591" s="27"/>
    </row>
    <row r="592" spans="6:11" ht="14.25" customHeight="1" x14ac:dyDescent="0.35">
      <c r="F592" s="26"/>
      <c r="H592" s="27"/>
      <c r="J592" s="27"/>
      <c r="K592" s="27"/>
    </row>
    <row r="593" spans="6:11" ht="14.25" customHeight="1" x14ac:dyDescent="0.35">
      <c r="F593" s="26"/>
      <c r="H593" s="27"/>
      <c r="J593" s="27"/>
      <c r="K593" s="27"/>
    </row>
    <row r="594" spans="6:11" ht="14.25" customHeight="1" x14ac:dyDescent="0.35">
      <c r="F594" s="26"/>
      <c r="H594" s="27"/>
      <c r="J594" s="27"/>
      <c r="K594" s="27"/>
    </row>
    <row r="595" spans="6:11" ht="14.25" customHeight="1" x14ac:dyDescent="0.35">
      <c r="F595" s="26"/>
      <c r="H595" s="27"/>
      <c r="J595" s="27"/>
      <c r="K595" s="27"/>
    </row>
    <row r="596" spans="6:11" ht="14.25" customHeight="1" x14ac:dyDescent="0.35">
      <c r="F596" s="26"/>
      <c r="H596" s="27"/>
      <c r="J596" s="27"/>
      <c r="K596" s="27"/>
    </row>
    <row r="597" spans="6:11" ht="14.25" customHeight="1" x14ac:dyDescent="0.35">
      <c r="F597" s="26"/>
      <c r="H597" s="27"/>
      <c r="J597" s="27"/>
      <c r="K597" s="27"/>
    </row>
    <row r="598" spans="6:11" ht="14.25" customHeight="1" x14ac:dyDescent="0.35">
      <c r="F598" s="26"/>
      <c r="H598" s="27"/>
      <c r="J598" s="27"/>
      <c r="K598" s="27"/>
    </row>
    <row r="599" spans="6:11" ht="14.25" customHeight="1" x14ac:dyDescent="0.35">
      <c r="F599" s="26"/>
      <c r="H599" s="27"/>
      <c r="J599" s="27"/>
      <c r="K599" s="27"/>
    </row>
    <row r="600" spans="6:11" ht="14.25" customHeight="1" x14ac:dyDescent="0.35">
      <c r="F600" s="26"/>
      <c r="H600" s="27"/>
      <c r="J600" s="27"/>
      <c r="K600" s="27"/>
    </row>
    <row r="601" spans="6:11" ht="14.25" customHeight="1" x14ac:dyDescent="0.35">
      <c r="F601" s="26"/>
      <c r="H601" s="27"/>
      <c r="J601" s="27"/>
      <c r="K601" s="27"/>
    </row>
    <row r="602" spans="6:11" ht="14.25" customHeight="1" x14ac:dyDescent="0.35">
      <c r="F602" s="26"/>
      <c r="H602" s="27"/>
      <c r="J602" s="27"/>
      <c r="K602" s="27"/>
    </row>
    <row r="603" spans="6:11" ht="14.25" customHeight="1" x14ac:dyDescent="0.35">
      <c r="F603" s="26"/>
      <c r="H603" s="27"/>
      <c r="J603" s="27"/>
      <c r="K603" s="27"/>
    </row>
    <row r="604" spans="6:11" ht="14.25" customHeight="1" x14ac:dyDescent="0.35">
      <c r="F604" s="26"/>
      <c r="H604" s="27"/>
      <c r="J604" s="27"/>
      <c r="K604" s="27"/>
    </row>
    <row r="605" spans="6:11" ht="14.25" customHeight="1" x14ac:dyDescent="0.35">
      <c r="F605" s="26"/>
      <c r="H605" s="27"/>
      <c r="J605" s="27"/>
      <c r="K605" s="27"/>
    </row>
    <row r="606" spans="6:11" ht="14.25" customHeight="1" x14ac:dyDescent="0.35">
      <c r="F606" s="26"/>
      <c r="H606" s="27"/>
      <c r="J606" s="27"/>
      <c r="K606" s="27"/>
    </row>
    <row r="607" spans="6:11" ht="14.25" customHeight="1" x14ac:dyDescent="0.35">
      <c r="F607" s="26"/>
      <c r="H607" s="27"/>
      <c r="J607" s="27"/>
      <c r="K607" s="27"/>
    </row>
    <row r="608" spans="6:11" ht="14.25" customHeight="1" x14ac:dyDescent="0.35">
      <c r="F608" s="26"/>
      <c r="H608" s="27"/>
      <c r="J608" s="27"/>
      <c r="K608" s="27"/>
    </row>
    <row r="609" spans="6:11" ht="14.25" customHeight="1" x14ac:dyDescent="0.35">
      <c r="F609" s="26"/>
      <c r="H609" s="27"/>
      <c r="J609" s="27"/>
      <c r="K609" s="27"/>
    </row>
    <row r="610" spans="6:11" ht="14.25" customHeight="1" x14ac:dyDescent="0.35">
      <c r="F610" s="26"/>
      <c r="H610" s="27"/>
      <c r="J610" s="27"/>
      <c r="K610" s="27"/>
    </row>
    <row r="611" spans="6:11" ht="14.25" customHeight="1" x14ac:dyDescent="0.35">
      <c r="F611" s="26"/>
      <c r="H611" s="27"/>
      <c r="J611" s="27"/>
      <c r="K611" s="27"/>
    </row>
    <row r="612" spans="6:11" ht="14.25" customHeight="1" x14ac:dyDescent="0.35">
      <c r="F612" s="26"/>
      <c r="H612" s="27"/>
      <c r="J612" s="27"/>
      <c r="K612" s="27"/>
    </row>
    <row r="613" spans="6:11" ht="14.25" customHeight="1" x14ac:dyDescent="0.35">
      <c r="F613" s="26"/>
      <c r="H613" s="27"/>
      <c r="J613" s="27"/>
      <c r="K613" s="27"/>
    </row>
    <row r="614" spans="6:11" ht="14.25" customHeight="1" x14ac:dyDescent="0.35">
      <c r="F614" s="26"/>
      <c r="H614" s="27"/>
      <c r="J614" s="27"/>
      <c r="K614" s="27"/>
    </row>
    <row r="615" spans="6:11" ht="14.25" customHeight="1" x14ac:dyDescent="0.35">
      <c r="F615" s="26"/>
      <c r="H615" s="27"/>
      <c r="J615" s="27"/>
      <c r="K615" s="27"/>
    </row>
    <row r="616" spans="6:11" ht="14.25" customHeight="1" x14ac:dyDescent="0.35">
      <c r="F616" s="26"/>
      <c r="H616" s="27"/>
      <c r="J616" s="27"/>
      <c r="K616" s="27"/>
    </row>
    <row r="617" spans="6:11" ht="14.25" customHeight="1" x14ac:dyDescent="0.35">
      <c r="F617" s="26"/>
      <c r="H617" s="27"/>
      <c r="J617" s="27"/>
      <c r="K617" s="27"/>
    </row>
    <row r="618" spans="6:11" ht="14.25" customHeight="1" x14ac:dyDescent="0.35">
      <c r="F618" s="26"/>
      <c r="H618" s="27"/>
      <c r="J618" s="27"/>
      <c r="K618" s="27"/>
    </row>
    <row r="619" spans="6:11" ht="14.25" customHeight="1" x14ac:dyDescent="0.35">
      <c r="F619" s="26"/>
      <c r="H619" s="27"/>
      <c r="J619" s="27"/>
      <c r="K619" s="27"/>
    </row>
    <row r="620" spans="6:11" ht="14.25" customHeight="1" x14ac:dyDescent="0.35">
      <c r="F620" s="26"/>
      <c r="H620" s="27"/>
      <c r="J620" s="27"/>
      <c r="K620" s="27"/>
    </row>
    <row r="621" spans="6:11" ht="14.25" customHeight="1" x14ac:dyDescent="0.35">
      <c r="F621" s="26"/>
      <c r="H621" s="27"/>
      <c r="J621" s="27"/>
      <c r="K621" s="27"/>
    </row>
    <row r="622" spans="6:11" ht="14.25" customHeight="1" x14ac:dyDescent="0.35">
      <c r="F622" s="26"/>
      <c r="H622" s="27"/>
      <c r="J622" s="27"/>
      <c r="K622" s="27"/>
    </row>
    <row r="623" spans="6:11" ht="14.25" customHeight="1" x14ac:dyDescent="0.35">
      <c r="F623" s="26"/>
      <c r="H623" s="27"/>
      <c r="J623" s="27"/>
      <c r="K623" s="27"/>
    </row>
    <row r="624" spans="6:11" ht="14.25" customHeight="1" x14ac:dyDescent="0.35">
      <c r="F624" s="26"/>
      <c r="H624" s="27"/>
      <c r="J624" s="27"/>
      <c r="K624" s="27"/>
    </row>
    <row r="625" spans="6:11" ht="14.25" customHeight="1" x14ac:dyDescent="0.35">
      <c r="F625" s="26"/>
      <c r="H625" s="27"/>
      <c r="J625" s="27"/>
      <c r="K625" s="27"/>
    </row>
    <row r="626" spans="6:11" ht="14.25" customHeight="1" x14ac:dyDescent="0.35">
      <c r="F626" s="26"/>
      <c r="H626" s="27"/>
      <c r="J626" s="27"/>
      <c r="K626" s="27"/>
    </row>
    <row r="627" spans="6:11" ht="14.25" customHeight="1" x14ac:dyDescent="0.35">
      <c r="F627" s="26"/>
      <c r="H627" s="27"/>
      <c r="J627" s="27"/>
      <c r="K627" s="27"/>
    </row>
    <row r="628" spans="6:11" ht="14.25" customHeight="1" x14ac:dyDescent="0.35">
      <c r="F628" s="26"/>
      <c r="H628" s="27"/>
      <c r="J628" s="27"/>
      <c r="K628" s="27"/>
    </row>
    <row r="629" spans="6:11" ht="14.25" customHeight="1" x14ac:dyDescent="0.35">
      <c r="F629" s="26"/>
      <c r="H629" s="27"/>
      <c r="J629" s="27"/>
      <c r="K629" s="27"/>
    </row>
    <row r="630" spans="6:11" ht="14.25" customHeight="1" x14ac:dyDescent="0.35">
      <c r="F630" s="26"/>
      <c r="H630" s="27"/>
      <c r="J630" s="27"/>
      <c r="K630" s="27"/>
    </row>
    <row r="631" spans="6:11" ht="14.25" customHeight="1" x14ac:dyDescent="0.35">
      <c r="F631" s="26"/>
      <c r="H631" s="27"/>
      <c r="J631" s="27"/>
      <c r="K631" s="27"/>
    </row>
    <row r="632" spans="6:11" ht="14.25" customHeight="1" x14ac:dyDescent="0.35">
      <c r="F632" s="26"/>
      <c r="H632" s="27"/>
      <c r="J632" s="27"/>
      <c r="K632" s="27"/>
    </row>
    <row r="633" spans="6:11" ht="14.25" customHeight="1" x14ac:dyDescent="0.35">
      <c r="F633" s="26"/>
      <c r="H633" s="27"/>
      <c r="J633" s="27"/>
      <c r="K633" s="27"/>
    </row>
    <row r="634" spans="6:11" ht="14.25" customHeight="1" x14ac:dyDescent="0.35">
      <c r="F634" s="26"/>
      <c r="H634" s="27"/>
      <c r="J634" s="27"/>
      <c r="K634" s="27"/>
    </row>
    <row r="635" spans="6:11" ht="14.25" customHeight="1" x14ac:dyDescent="0.35">
      <c r="F635" s="26"/>
      <c r="H635" s="27"/>
      <c r="J635" s="27"/>
      <c r="K635" s="27"/>
    </row>
    <row r="636" spans="6:11" ht="14.25" customHeight="1" x14ac:dyDescent="0.35">
      <c r="F636" s="26"/>
      <c r="H636" s="27"/>
      <c r="J636" s="27"/>
      <c r="K636" s="27"/>
    </row>
    <row r="637" spans="6:11" ht="14.25" customHeight="1" x14ac:dyDescent="0.35">
      <c r="F637" s="26"/>
      <c r="H637" s="27"/>
      <c r="J637" s="27"/>
      <c r="K637" s="27"/>
    </row>
    <row r="638" spans="6:11" ht="14.25" customHeight="1" x14ac:dyDescent="0.35">
      <c r="F638" s="26"/>
      <c r="H638" s="27"/>
      <c r="J638" s="27"/>
      <c r="K638" s="27"/>
    </row>
    <row r="639" spans="6:11" ht="14.25" customHeight="1" x14ac:dyDescent="0.35">
      <c r="F639" s="26"/>
      <c r="H639" s="27"/>
      <c r="J639" s="27"/>
      <c r="K639" s="27"/>
    </row>
    <row r="640" spans="6:11" ht="14.25" customHeight="1" x14ac:dyDescent="0.35">
      <c r="F640" s="26"/>
      <c r="H640" s="27"/>
      <c r="J640" s="27"/>
      <c r="K640" s="27"/>
    </row>
    <row r="641" spans="6:11" ht="14.25" customHeight="1" x14ac:dyDescent="0.35">
      <c r="F641" s="26"/>
      <c r="H641" s="27"/>
      <c r="J641" s="27"/>
      <c r="K641" s="27"/>
    </row>
    <row r="642" spans="6:11" ht="14.25" customHeight="1" x14ac:dyDescent="0.35">
      <c r="F642" s="26"/>
      <c r="H642" s="27"/>
      <c r="J642" s="27"/>
      <c r="K642" s="27"/>
    </row>
    <row r="643" spans="6:11" ht="14.25" customHeight="1" x14ac:dyDescent="0.35">
      <c r="F643" s="26"/>
      <c r="H643" s="27"/>
      <c r="J643" s="27"/>
      <c r="K643" s="27"/>
    </row>
    <row r="644" spans="6:11" ht="14.25" customHeight="1" x14ac:dyDescent="0.35">
      <c r="F644" s="26"/>
      <c r="H644" s="27"/>
      <c r="J644" s="27"/>
      <c r="K644" s="27"/>
    </row>
    <row r="645" spans="6:11" ht="14.25" customHeight="1" x14ac:dyDescent="0.35">
      <c r="F645" s="26"/>
      <c r="H645" s="27"/>
      <c r="J645" s="27"/>
      <c r="K645" s="27"/>
    </row>
    <row r="646" spans="6:11" ht="14.25" customHeight="1" x14ac:dyDescent="0.35">
      <c r="F646" s="26"/>
      <c r="H646" s="27"/>
      <c r="J646" s="27"/>
      <c r="K646" s="27"/>
    </row>
    <row r="647" spans="6:11" ht="14.25" customHeight="1" x14ac:dyDescent="0.35">
      <c r="F647" s="26"/>
      <c r="H647" s="27"/>
      <c r="J647" s="27"/>
      <c r="K647" s="27"/>
    </row>
    <row r="648" spans="6:11" ht="14.25" customHeight="1" x14ac:dyDescent="0.35">
      <c r="F648" s="26"/>
      <c r="H648" s="27"/>
      <c r="J648" s="27"/>
      <c r="K648" s="27"/>
    </row>
    <row r="649" spans="6:11" ht="14.25" customHeight="1" x14ac:dyDescent="0.35">
      <c r="F649" s="26"/>
      <c r="H649" s="27"/>
      <c r="J649" s="27"/>
      <c r="K649" s="27"/>
    </row>
    <row r="650" spans="6:11" ht="14.25" customHeight="1" x14ac:dyDescent="0.35">
      <c r="F650" s="26"/>
      <c r="H650" s="27"/>
      <c r="J650" s="27"/>
      <c r="K650" s="27"/>
    </row>
    <row r="651" spans="6:11" ht="14.25" customHeight="1" x14ac:dyDescent="0.35">
      <c r="F651" s="26"/>
      <c r="H651" s="27"/>
      <c r="J651" s="27"/>
      <c r="K651" s="27"/>
    </row>
    <row r="652" spans="6:11" ht="14.25" customHeight="1" x14ac:dyDescent="0.35">
      <c r="F652" s="26"/>
      <c r="H652" s="27"/>
      <c r="J652" s="27"/>
      <c r="K652" s="27"/>
    </row>
    <row r="653" spans="6:11" ht="14.25" customHeight="1" x14ac:dyDescent="0.35">
      <c r="F653" s="26"/>
      <c r="H653" s="27"/>
      <c r="J653" s="27"/>
      <c r="K653" s="27"/>
    </row>
    <row r="654" spans="6:11" ht="14.25" customHeight="1" x14ac:dyDescent="0.35">
      <c r="F654" s="26"/>
      <c r="H654" s="27"/>
      <c r="J654" s="27"/>
      <c r="K654" s="27"/>
    </row>
    <row r="655" spans="6:11" ht="14.25" customHeight="1" x14ac:dyDescent="0.35">
      <c r="F655" s="26"/>
      <c r="H655" s="27"/>
      <c r="J655" s="27"/>
      <c r="K655" s="27"/>
    </row>
    <row r="656" spans="6:11" ht="14.25" customHeight="1" x14ac:dyDescent="0.35">
      <c r="F656" s="26"/>
      <c r="H656" s="27"/>
      <c r="J656" s="27"/>
      <c r="K656" s="27"/>
    </row>
    <row r="657" spans="6:11" ht="14.25" customHeight="1" x14ac:dyDescent="0.35">
      <c r="F657" s="26"/>
      <c r="H657" s="27"/>
      <c r="J657" s="27"/>
      <c r="K657" s="27"/>
    </row>
    <row r="658" spans="6:11" ht="14.25" customHeight="1" x14ac:dyDescent="0.35">
      <c r="F658" s="26"/>
      <c r="H658" s="27"/>
      <c r="J658" s="27"/>
      <c r="K658" s="27"/>
    </row>
    <row r="659" spans="6:11" ht="14.25" customHeight="1" x14ac:dyDescent="0.35">
      <c r="F659" s="26"/>
      <c r="H659" s="27"/>
      <c r="J659" s="27"/>
      <c r="K659" s="27"/>
    </row>
    <row r="660" spans="6:11" ht="14.25" customHeight="1" x14ac:dyDescent="0.35">
      <c r="F660" s="26"/>
      <c r="H660" s="27"/>
      <c r="J660" s="27"/>
      <c r="K660" s="27"/>
    </row>
    <row r="661" spans="6:11" ht="14.25" customHeight="1" x14ac:dyDescent="0.35">
      <c r="F661" s="26"/>
      <c r="H661" s="27"/>
      <c r="J661" s="27"/>
      <c r="K661" s="27"/>
    </row>
    <row r="662" spans="6:11" ht="14.25" customHeight="1" x14ac:dyDescent="0.35">
      <c r="F662" s="26"/>
      <c r="H662" s="27"/>
      <c r="J662" s="27"/>
      <c r="K662" s="27"/>
    </row>
    <row r="663" spans="6:11" ht="14.25" customHeight="1" x14ac:dyDescent="0.35">
      <c r="F663" s="26"/>
      <c r="H663" s="27"/>
      <c r="J663" s="27"/>
      <c r="K663" s="27"/>
    </row>
    <row r="664" spans="6:11" ht="14.25" customHeight="1" x14ac:dyDescent="0.35">
      <c r="F664" s="26"/>
      <c r="H664" s="27"/>
      <c r="J664" s="27"/>
      <c r="K664" s="27"/>
    </row>
    <row r="665" spans="6:11" ht="14.25" customHeight="1" x14ac:dyDescent="0.35">
      <c r="F665" s="26"/>
      <c r="H665" s="27"/>
      <c r="J665" s="27"/>
      <c r="K665" s="27"/>
    </row>
    <row r="666" spans="6:11" ht="14.25" customHeight="1" x14ac:dyDescent="0.35">
      <c r="F666" s="26"/>
      <c r="H666" s="27"/>
      <c r="J666" s="27"/>
      <c r="K666" s="27"/>
    </row>
    <row r="667" spans="6:11" ht="14.25" customHeight="1" x14ac:dyDescent="0.35">
      <c r="F667" s="26"/>
      <c r="H667" s="27"/>
      <c r="J667" s="27"/>
      <c r="K667" s="27"/>
    </row>
    <row r="668" spans="6:11" ht="14.25" customHeight="1" x14ac:dyDescent="0.35">
      <c r="F668" s="26"/>
      <c r="H668" s="27"/>
      <c r="J668" s="27"/>
      <c r="K668" s="27"/>
    </row>
    <row r="669" spans="6:11" ht="14.25" customHeight="1" x14ac:dyDescent="0.35">
      <c r="F669" s="26"/>
      <c r="H669" s="27"/>
      <c r="J669" s="27"/>
      <c r="K669" s="27"/>
    </row>
    <row r="670" spans="6:11" ht="14.25" customHeight="1" x14ac:dyDescent="0.35">
      <c r="F670" s="26"/>
      <c r="H670" s="27"/>
      <c r="J670" s="27"/>
      <c r="K670" s="27"/>
    </row>
    <row r="671" spans="6:11" ht="14.25" customHeight="1" x14ac:dyDescent="0.35">
      <c r="F671" s="26"/>
      <c r="H671" s="27"/>
      <c r="J671" s="27"/>
      <c r="K671" s="27"/>
    </row>
    <row r="672" spans="6:11" ht="14.25" customHeight="1" x14ac:dyDescent="0.35">
      <c r="F672" s="26"/>
      <c r="H672" s="27"/>
      <c r="J672" s="27"/>
      <c r="K672" s="27"/>
    </row>
    <row r="673" spans="6:11" ht="14.25" customHeight="1" x14ac:dyDescent="0.35">
      <c r="F673" s="26"/>
      <c r="H673" s="27"/>
      <c r="J673" s="27"/>
      <c r="K673" s="27"/>
    </row>
    <row r="674" spans="6:11" ht="14.25" customHeight="1" x14ac:dyDescent="0.35">
      <c r="F674" s="26"/>
      <c r="H674" s="27"/>
      <c r="J674" s="27"/>
      <c r="K674" s="27"/>
    </row>
    <row r="675" spans="6:11" ht="14.25" customHeight="1" x14ac:dyDescent="0.35">
      <c r="F675" s="26"/>
      <c r="H675" s="27"/>
      <c r="J675" s="27"/>
      <c r="K675" s="27"/>
    </row>
    <row r="676" spans="6:11" ht="14.25" customHeight="1" x14ac:dyDescent="0.35">
      <c r="F676" s="26"/>
      <c r="H676" s="27"/>
      <c r="J676" s="27"/>
      <c r="K676" s="27"/>
    </row>
    <row r="677" spans="6:11" ht="14.25" customHeight="1" x14ac:dyDescent="0.35">
      <c r="F677" s="26"/>
      <c r="H677" s="27"/>
      <c r="J677" s="27"/>
      <c r="K677" s="27"/>
    </row>
    <row r="678" spans="6:11" ht="14.25" customHeight="1" x14ac:dyDescent="0.35">
      <c r="F678" s="26"/>
      <c r="H678" s="27"/>
      <c r="J678" s="27"/>
      <c r="K678" s="27"/>
    </row>
    <row r="679" spans="6:11" ht="14.25" customHeight="1" x14ac:dyDescent="0.35">
      <c r="F679" s="26"/>
      <c r="H679" s="27"/>
      <c r="J679" s="27"/>
      <c r="K679" s="27"/>
    </row>
    <row r="680" spans="6:11" ht="14.25" customHeight="1" x14ac:dyDescent="0.35">
      <c r="F680" s="26"/>
      <c r="H680" s="27"/>
      <c r="J680" s="27"/>
      <c r="K680" s="27"/>
    </row>
    <row r="681" spans="6:11" ht="14.25" customHeight="1" x14ac:dyDescent="0.35">
      <c r="F681" s="26"/>
      <c r="H681" s="27"/>
      <c r="J681" s="27"/>
      <c r="K681" s="27"/>
    </row>
    <row r="682" spans="6:11" ht="14.25" customHeight="1" x14ac:dyDescent="0.35">
      <c r="F682" s="26"/>
      <c r="H682" s="27"/>
      <c r="J682" s="27"/>
      <c r="K682" s="27"/>
    </row>
    <row r="683" spans="6:11" ht="14.25" customHeight="1" x14ac:dyDescent="0.35">
      <c r="F683" s="26"/>
      <c r="H683" s="27"/>
      <c r="J683" s="27"/>
      <c r="K683" s="27"/>
    </row>
    <row r="684" spans="6:11" ht="14.25" customHeight="1" x14ac:dyDescent="0.35">
      <c r="F684" s="26"/>
      <c r="H684" s="27"/>
      <c r="J684" s="27"/>
      <c r="K684" s="27"/>
    </row>
    <row r="685" spans="6:11" ht="14.25" customHeight="1" x14ac:dyDescent="0.35">
      <c r="F685" s="26"/>
      <c r="H685" s="27"/>
      <c r="J685" s="27"/>
      <c r="K685" s="27"/>
    </row>
    <row r="686" spans="6:11" ht="14.25" customHeight="1" x14ac:dyDescent="0.35">
      <c r="F686" s="26"/>
      <c r="H686" s="27"/>
      <c r="J686" s="27"/>
      <c r="K686" s="27"/>
    </row>
    <row r="687" spans="6:11" ht="14.25" customHeight="1" x14ac:dyDescent="0.35">
      <c r="F687" s="26"/>
      <c r="H687" s="27"/>
      <c r="J687" s="27"/>
      <c r="K687" s="27"/>
    </row>
    <row r="688" spans="6:11" ht="14.25" customHeight="1" x14ac:dyDescent="0.35">
      <c r="F688" s="26"/>
      <c r="H688" s="27"/>
      <c r="J688" s="27"/>
      <c r="K688" s="27"/>
    </row>
    <row r="689" spans="6:11" ht="14.25" customHeight="1" x14ac:dyDescent="0.35">
      <c r="F689" s="26"/>
      <c r="H689" s="27"/>
      <c r="J689" s="27"/>
      <c r="K689" s="27"/>
    </row>
    <row r="690" spans="6:11" ht="14.25" customHeight="1" x14ac:dyDescent="0.35">
      <c r="F690" s="26"/>
      <c r="H690" s="27"/>
      <c r="J690" s="27"/>
      <c r="K690" s="27"/>
    </row>
    <row r="691" spans="6:11" ht="14.25" customHeight="1" x14ac:dyDescent="0.35">
      <c r="F691" s="26"/>
      <c r="H691" s="27"/>
      <c r="J691" s="27"/>
      <c r="K691" s="27"/>
    </row>
    <row r="692" spans="6:11" ht="14.25" customHeight="1" x14ac:dyDescent="0.35">
      <c r="F692" s="26"/>
      <c r="H692" s="27"/>
      <c r="J692" s="27"/>
      <c r="K692" s="27"/>
    </row>
    <row r="693" spans="6:11" ht="14.25" customHeight="1" x14ac:dyDescent="0.35">
      <c r="F693" s="26"/>
      <c r="H693" s="27"/>
      <c r="J693" s="27"/>
      <c r="K693" s="27"/>
    </row>
    <row r="694" spans="6:11" ht="14.25" customHeight="1" x14ac:dyDescent="0.35">
      <c r="F694" s="26"/>
      <c r="H694" s="27"/>
      <c r="J694" s="27"/>
      <c r="K694" s="27"/>
    </row>
    <row r="695" spans="6:11" ht="14.25" customHeight="1" x14ac:dyDescent="0.35">
      <c r="F695" s="26"/>
      <c r="H695" s="27"/>
      <c r="J695" s="27"/>
      <c r="K695" s="27"/>
    </row>
    <row r="696" spans="6:11" ht="14.25" customHeight="1" x14ac:dyDescent="0.35">
      <c r="F696" s="26"/>
      <c r="H696" s="27"/>
      <c r="J696" s="27"/>
      <c r="K696" s="27"/>
    </row>
    <row r="697" spans="6:11" ht="14.25" customHeight="1" x14ac:dyDescent="0.35">
      <c r="F697" s="26"/>
      <c r="H697" s="27"/>
      <c r="J697" s="27"/>
      <c r="K697" s="27"/>
    </row>
    <row r="698" spans="6:11" ht="14.25" customHeight="1" x14ac:dyDescent="0.35">
      <c r="F698" s="26"/>
      <c r="H698" s="27"/>
      <c r="J698" s="27"/>
      <c r="K698" s="27"/>
    </row>
    <row r="699" spans="6:11" ht="14.25" customHeight="1" x14ac:dyDescent="0.35">
      <c r="F699" s="26"/>
      <c r="H699" s="27"/>
      <c r="J699" s="27"/>
      <c r="K699" s="27"/>
    </row>
    <row r="700" spans="6:11" ht="14.25" customHeight="1" x14ac:dyDescent="0.35">
      <c r="F700" s="26"/>
      <c r="H700" s="27"/>
      <c r="J700" s="27"/>
      <c r="K700" s="27"/>
    </row>
    <row r="701" spans="6:11" ht="14.25" customHeight="1" x14ac:dyDescent="0.35">
      <c r="F701" s="26"/>
      <c r="H701" s="27"/>
      <c r="J701" s="27"/>
      <c r="K701" s="27"/>
    </row>
    <row r="702" spans="6:11" ht="14.25" customHeight="1" x14ac:dyDescent="0.35">
      <c r="F702" s="26"/>
      <c r="H702" s="27"/>
      <c r="J702" s="27"/>
      <c r="K702" s="27"/>
    </row>
    <row r="703" spans="6:11" ht="14.25" customHeight="1" x14ac:dyDescent="0.35">
      <c r="F703" s="26"/>
      <c r="H703" s="27"/>
      <c r="J703" s="27"/>
      <c r="K703" s="27"/>
    </row>
    <row r="704" spans="6:11" ht="14.25" customHeight="1" x14ac:dyDescent="0.35">
      <c r="F704" s="26"/>
      <c r="H704" s="27"/>
      <c r="J704" s="27"/>
      <c r="K704" s="27"/>
    </row>
    <row r="705" spans="6:11" ht="14.25" customHeight="1" x14ac:dyDescent="0.35">
      <c r="F705" s="26"/>
      <c r="H705" s="27"/>
      <c r="J705" s="27"/>
      <c r="K705" s="27"/>
    </row>
    <row r="706" spans="6:11" ht="14.25" customHeight="1" x14ac:dyDescent="0.35">
      <c r="F706" s="26"/>
      <c r="H706" s="27"/>
      <c r="J706" s="27"/>
      <c r="K706" s="27"/>
    </row>
    <row r="707" spans="6:11" ht="14.25" customHeight="1" x14ac:dyDescent="0.35">
      <c r="F707" s="26"/>
      <c r="H707" s="27"/>
      <c r="J707" s="27"/>
      <c r="K707" s="27"/>
    </row>
    <row r="708" spans="6:11" ht="14.25" customHeight="1" x14ac:dyDescent="0.35">
      <c r="F708" s="26"/>
      <c r="H708" s="27"/>
      <c r="J708" s="27"/>
      <c r="K708" s="27"/>
    </row>
    <row r="709" spans="6:11" ht="14.25" customHeight="1" x14ac:dyDescent="0.35">
      <c r="F709" s="26"/>
      <c r="H709" s="27"/>
      <c r="J709" s="27"/>
      <c r="K709" s="27"/>
    </row>
    <row r="710" spans="6:11" ht="14.25" customHeight="1" x14ac:dyDescent="0.35">
      <c r="F710" s="26"/>
      <c r="H710" s="27"/>
      <c r="J710" s="27"/>
      <c r="K710" s="27"/>
    </row>
    <row r="711" spans="6:11" ht="14.25" customHeight="1" x14ac:dyDescent="0.35">
      <c r="F711" s="26"/>
      <c r="H711" s="27"/>
      <c r="J711" s="27"/>
      <c r="K711" s="27"/>
    </row>
    <row r="712" spans="6:11" ht="14.25" customHeight="1" x14ac:dyDescent="0.35">
      <c r="F712" s="26"/>
      <c r="H712" s="27"/>
      <c r="J712" s="27"/>
      <c r="K712" s="27"/>
    </row>
    <row r="713" spans="6:11" ht="14.25" customHeight="1" x14ac:dyDescent="0.35">
      <c r="F713" s="26"/>
      <c r="H713" s="27"/>
      <c r="J713" s="27"/>
      <c r="K713" s="27"/>
    </row>
    <row r="714" spans="6:11" ht="14.25" customHeight="1" x14ac:dyDescent="0.35">
      <c r="F714" s="26"/>
      <c r="H714" s="27"/>
      <c r="J714" s="27"/>
      <c r="K714" s="27"/>
    </row>
    <row r="715" spans="6:11" ht="14.25" customHeight="1" x14ac:dyDescent="0.35">
      <c r="F715" s="26"/>
      <c r="H715" s="27"/>
      <c r="J715" s="27"/>
      <c r="K715" s="27"/>
    </row>
    <row r="716" spans="6:11" ht="14.25" customHeight="1" x14ac:dyDescent="0.35">
      <c r="F716" s="26"/>
      <c r="H716" s="27"/>
      <c r="J716" s="27"/>
      <c r="K716" s="27"/>
    </row>
    <row r="717" spans="6:11" ht="14.25" customHeight="1" x14ac:dyDescent="0.35">
      <c r="F717" s="26"/>
      <c r="H717" s="27"/>
      <c r="J717" s="27"/>
      <c r="K717" s="27"/>
    </row>
    <row r="718" spans="6:11" ht="14.25" customHeight="1" x14ac:dyDescent="0.35">
      <c r="F718" s="26"/>
      <c r="H718" s="27"/>
      <c r="J718" s="27"/>
      <c r="K718" s="27"/>
    </row>
    <row r="719" spans="6:11" ht="14.25" customHeight="1" x14ac:dyDescent="0.35">
      <c r="F719" s="26"/>
      <c r="H719" s="27"/>
      <c r="J719" s="27"/>
      <c r="K719" s="27"/>
    </row>
    <row r="720" spans="6:11" ht="14.25" customHeight="1" x14ac:dyDescent="0.35">
      <c r="F720" s="26"/>
      <c r="H720" s="27"/>
      <c r="J720" s="27"/>
      <c r="K720" s="27"/>
    </row>
    <row r="721" spans="6:11" ht="14.25" customHeight="1" x14ac:dyDescent="0.35">
      <c r="F721" s="26"/>
      <c r="H721" s="27"/>
      <c r="J721" s="27"/>
      <c r="K721" s="27"/>
    </row>
    <row r="722" spans="6:11" ht="14.25" customHeight="1" x14ac:dyDescent="0.35">
      <c r="F722" s="26"/>
      <c r="H722" s="27"/>
      <c r="J722" s="27"/>
      <c r="K722" s="27"/>
    </row>
    <row r="723" spans="6:11" ht="14.25" customHeight="1" x14ac:dyDescent="0.35">
      <c r="F723" s="26"/>
      <c r="H723" s="27"/>
      <c r="J723" s="27"/>
      <c r="K723" s="27"/>
    </row>
    <row r="724" spans="6:11" ht="14.25" customHeight="1" x14ac:dyDescent="0.35">
      <c r="F724" s="26"/>
      <c r="H724" s="27"/>
      <c r="J724" s="27"/>
      <c r="K724" s="27"/>
    </row>
    <row r="725" spans="6:11" ht="14.25" customHeight="1" x14ac:dyDescent="0.35">
      <c r="F725" s="26"/>
      <c r="H725" s="27"/>
      <c r="J725" s="27"/>
      <c r="K725" s="27"/>
    </row>
    <row r="726" spans="6:11" ht="14.25" customHeight="1" x14ac:dyDescent="0.35">
      <c r="F726" s="26"/>
      <c r="H726" s="27"/>
      <c r="J726" s="27"/>
      <c r="K726" s="27"/>
    </row>
    <row r="727" spans="6:11" ht="14.25" customHeight="1" x14ac:dyDescent="0.35">
      <c r="F727" s="26"/>
      <c r="H727" s="27"/>
      <c r="J727" s="27"/>
      <c r="K727" s="27"/>
    </row>
    <row r="728" spans="6:11" ht="14.25" customHeight="1" x14ac:dyDescent="0.35">
      <c r="F728" s="26"/>
      <c r="H728" s="27"/>
      <c r="J728" s="27"/>
      <c r="K728" s="27"/>
    </row>
    <row r="729" spans="6:11" ht="14.25" customHeight="1" x14ac:dyDescent="0.35">
      <c r="F729" s="26"/>
      <c r="H729" s="27"/>
      <c r="J729" s="27"/>
      <c r="K729" s="27"/>
    </row>
    <row r="730" spans="6:11" ht="14.25" customHeight="1" x14ac:dyDescent="0.35">
      <c r="F730" s="26"/>
      <c r="H730" s="27"/>
      <c r="J730" s="27"/>
      <c r="K730" s="27"/>
    </row>
    <row r="731" spans="6:11" ht="14.25" customHeight="1" x14ac:dyDescent="0.35">
      <c r="F731" s="26"/>
      <c r="H731" s="27"/>
      <c r="J731" s="27"/>
      <c r="K731" s="27"/>
    </row>
    <row r="732" spans="6:11" ht="14.25" customHeight="1" x14ac:dyDescent="0.35">
      <c r="F732" s="26"/>
      <c r="H732" s="27"/>
      <c r="J732" s="27"/>
      <c r="K732" s="27"/>
    </row>
    <row r="733" spans="6:11" ht="14.25" customHeight="1" x14ac:dyDescent="0.35">
      <c r="F733" s="26"/>
      <c r="H733" s="27"/>
      <c r="J733" s="27"/>
      <c r="K733" s="27"/>
    </row>
    <row r="734" spans="6:11" ht="14.25" customHeight="1" x14ac:dyDescent="0.35">
      <c r="F734" s="26"/>
      <c r="H734" s="27"/>
      <c r="J734" s="27"/>
      <c r="K734" s="27"/>
    </row>
    <row r="735" spans="6:11" ht="14.25" customHeight="1" x14ac:dyDescent="0.35">
      <c r="F735" s="26"/>
      <c r="H735" s="27"/>
      <c r="J735" s="27"/>
      <c r="K735" s="27"/>
    </row>
    <row r="736" spans="6:11" ht="14.25" customHeight="1" x14ac:dyDescent="0.35">
      <c r="F736" s="26"/>
      <c r="H736" s="27"/>
      <c r="J736" s="27"/>
      <c r="K736" s="27"/>
    </row>
    <row r="737" spans="6:11" ht="14.25" customHeight="1" x14ac:dyDescent="0.35">
      <c r="F737" s="26"/>
      <c r="H737" s="27"/>
      <c r="J737" s="27"/>
      <c r="K737" s="27"/>
    </row>
    <row r="738" spans="6:11" ht="14.25" customHeight="1" x14ac:dyDescent="0.35">
      <c r="F738" s="26"/>
      <c r="H738" s="27"/>
      <c r="J738" s="27"/>
      <c r="K738" s="27"/>
    </row>
    <row r="739" spans="6:11" ht="14.25" customHeight="1" x14ac:dyDescent="0.35">
      <c r="F739" s="26"/>
      <c r="H739" s="27"/>
      <c r="J739" s="27"/>
      <c r="K739" s="27"/>
    </row>
    <row r="740" spans="6:11" ht="14.25" customHeight="1" x14ac:dyDescent="0.35">
      <c r="F740" s="26"/>
      <c r="H740" s="27"/>
      <c r="J740" s="27"/>
      <c r="K740" s="27"/>
    </row>
    <row r="741" spans="6:11" ht="14.25" customHeight="1" x14ac:dyDescent="0.35">
      <c r="F741" s="26"/>
      <c r="H741" s="27"/>
      <c r="J741" s="27"/>
      <c r="K741" s="27"/>
    </row>
    <row r="742" spans="6:11" ht="14.25" customHeight="1" x14ac:dyDescent="0.35">
      <c r="F742" s="26"/>
      <c r="H742" s="27"/>
      <c r="J742" s="27"/>
      <c r="K742" s="27"/>
    </row>
    <row r="743" spans="6:11" ht="14.25" customHeight="1" x14ac:dyDescent="0.35">
      <c r="F743" s="26"/>
      <c r="H743" s="27"/>
      <c r="J743" s="27"/>
      <c r="K743" s="27"/>
    </row>
    <row r="744" spans="6:11" ht="14.25" customHeight="1" x14ac:dyDescent="0.35">
      <c r="F744" s="26"/>
      <c r="H744" s="27"/>
      <c r="J744" s="27"/>
      <c r="K744" s="27"/>
    </row>
    <row r="745" spans="6:11" ht="14.25" customHeight="1" x14ac:dyDescent="0.35">
      <c r="F745" s="26"/>
      <c r="H745" s="27"/>
      <c r="J745" s="27"/>
      <c r="K745" s="27"/>
    </row>
    <row r="746" spans="6:11" ht="14.25" customHeight="1" x14ac:dyDescent="0.35">
      <c r="F746" s="26"/>
      <c r="H746" s="27"/>
      <c r="J746" s="27"/>
      <c r="K746" s="27"/>
    </row>
    <row r="747" spans="6:11" ht="14.25" customHeight="1" x14ac:dyDescent="0.35">
      <c r="F747" s="26"/>
      <c r="H747" s="27"/>
      <c r="J747" s="27"/>
      <c r="K747" s="27"/>
    </row>
    <row r="748" spans="6:11" ht="14.25" customHeight="1" x14ac:dyDescent="0.35">
      <c r="F748" s="26"/>
      <c r="H748" s="27"/>
      <c r="J748" s="27"/>
      <c r="K748" s="27"/>
    </row>
    <row r="749" spans="6:11" ht="14.25" customHeight="1" x14ac:dyDescent="0.35">
      <c r="F749" s="26"/>
      <c r="H749" s="27"/>
      <c r="J749" s="27"/>
      <c r="K749" s="27"/>
    </row>
    <row r="750" spans="6:11" ht="14.25" customHeight="1" x14ac:dyDescent="0.35">
      <c r="F750" s="26"/>
      <c r="H750" s="27"/>
      <c r="J750" s="27"/>
      <c r="K750" s="27"/>
    </row>
    <row r="751" spans="6:11" ht="14.25" customHeight="1" x14ac:dyDescent="0.35">
      <c r="F751" s="26"/>
      <c r="H751" s="27"/>
      <c r="J751" s="27"/>
      <c r="K751" s="27"/>
    </row>
    <row r="752" spans="6:11" ht="14.25" customHeight="1" x14ac:dyDescent="0.35">
      <c r="F752" s="26"/>
      <c r="H752" s="27"/>
      <c r="J752" s="27"/>
      <c r="K752" s="27"/>
    </row>
    <row r="753" spans="6:11" ht="14.25" customHeight="1" x14ac:dyDescent="0.35">
      <c r="F753" s="26"/>
      <c r="H753" s="27"/>
      <c r="J753" s="27"/>
      <c r="K753" s="27"/>
    </row>
    <row r="754" spans="6:11" ht="14.25" customHeight="1" x14ac:dyDescent="0.35">
      <c r="F754" s="26"/>
      <c r="H754" s="27"/>
      <c r="J754" s="27"/>
      <c r="K754" s="27"/>
    </row>
    <row r="755" spans="6:11" ht="14.25" customHeight="1" x14ac:dyDescent="0.35">
      <c r="F755" s="26"/>
      <c r="H755" s="27"/>
      <c r="J755" s="27"/>
      <c r="K755" s="27"/>
    </row>
    <row r="756" spans="6:11" ht="14.25" customHeight="1" x14ac:dyDescent="0.35">
      <c r="F756" s="26"/>
      <c r="H756" s="27"/>
      <c r="J756" s="27"/>
      <c r="K756" s="27"/>
    </row>
    <row r="757" spans="6:11" ht="14.25" customHeight="1" x14ac:dyDescent="0.35">
      <c r="F757" s="26"/>
      <c r="H757" s="27"/>
      <c r="J757" s="27"/>
      <c r="K757" s="27"/>
    </row>
    <row r="758" spans="6:11" ht="14.25" customHeight="1" x14ac:dyDescent="0.35">
      <c r="F758" s="26"/>
      <c r="H758" s="27"/>
      <c r="J758" s="27"/>
      <c r="K758" s="27"/>
    </row>
    <row r="759" spans="6:11" ht="14.25" customHeight="1" x14ac:dyDescent="0.35">
      <c r="F759" s="26"/>
      <c r="H759" s="27"/>
      <c r="J759" s="27"/>
      <c r="K759" s="27"/>
    </row>
    <row r="760" spans="6:11" ht="14.25" customHeight="1" x14ac:dyDescent="0.35">
      <c r="F760" s="26"/>
      <c r="H760" s="27"/>
      <c r="J760" s="27"/>
      <c r="K760" s="27"/>
    </row>
    <row r="761" spans="6:11" ht="14.25" customHeight="1" x14ac:dyDescent="0.35">
      <c r="F761" s="26"/>
      <c r="H761" s="27"/>
      <c r="J761" s="27"/>
      <c r="K761" s="27"/>
    </row>
    <row r="762" spans="6:11" ht="14.25" customHeight="1" x14ac:dyDescent="0.35">
      <c r="F762" s="26"/>
      <c r="H762" s="27"/>
      <c r="J762" s="27"/>
      <c r="K762" s="27"/>
    </row>
    <row r="763" spans="6:11" ht="14.25" customHeight="1" x14ac:dyDescent="0.35">
      <c r="F763" s="26"/>
      <c r="H763" s="27"/>
      <c r="J763" s="27"/>
      <c r="K763" s="27"/>
    </row>
    <row r="764" spans="6:11" ht="14.25" customHeight="1" x14ac:dyDescent="0.35">
      <c r="F764" s="26"/>
      <c r="H764" s="27"/>
      <c r="J764" s="27"/>
      <c r="K764" s="27"/>
    </row>
    <row r="765" spans="6:11" ht="14.25" customHeight="1" x14ac:dyDescent="0.35">
      <c r="F765" s="26"/>
      <c r="H765" s="27"/>
      <c r="J765" s="27"/>
      <c r="K765" s="27"/>
    </row>
    <row r="766" spans="6:11" ht="14.25" customHeight="1" x14ac:dyDescent="0.35">
      <c r="F766" s="26"/>
      <c r="H766" s="27"/>
      <c r="J766" s="27"/>
      <c r="K766" s="27"/>
    </row>
    <row r="767" spans="6:11" ht="14.25" customHeight="1" x14ac:dyDescent="0.35">
      <c r="F767" s="26"/>
      <c r="H767" s="27"/>
      <c r="J767" s="27"/>
      <c r="K767" s="27"/>
    </row>
    <row r="768" spans="6:11" ht="14.25" customHeight="1" x14ac:dyDescent="0.35">
      <c r="F768" s="26"/>
      <c r="H768" s="27"/>
      <c r="J768" s="27"/>
      <c r="K768" s="27"/>
    </row>
    <row r="769" spans="6:11" ht="14.25" customHeight="1" x14ac:dyDescent="0.35">
      <c r="F769" s="26"/>
      <c r="H769" s="27"/>
      <c r="J769" s="27"/>
      <c r="K769" s="27"/>
    </row>
    <row r="770" spans="6:11" ht="14.25" customHeight="1" x14ac:dyDescent="0.35">
      <c r="F770" s="26"/>
      <c r="H770" s="27"/>
      <c r="J770" s="27"/>
      <c r="K770" s="27"/>
    </row>
    <row r="771" spans="6:11" ht="14.25" customHeight="1" x14ac:dyDescent="0.35">
      <c r="F771" s="26"/>
      <c r="H771" s="27"/>
      <c r="J771" s="27"/>
      <c r="K771" s="27"/>
    </row>
    <row r="772" spans="6:11" ht="14.25" customHeight="1" x14ac:dyDescent="0.35">
      <c r="F772" s="26"/>
      <c r="H772" s="27"/>
      <c r="J772" s="27"/>
      <c r="K772" s="27"/>
    </row>
    <row r="773" spans="6:11" ht="14.25" customHeight="1" x14ac:dyDescent="0.35">
      <c r="F773" s="26"/>
      <c r="H773" s="27"/>
      <c r="J773" s="27"/>
      <c r="K773" s="27"/>
    </row>
    <row r="774" spans="6:11" ht="14.25" customHeight="1" x14ac:dyDescent="0.35">
      <c r="F774" s="26"/>
      <c r="H774" s="27"/>
      <c r="J774" s="27"/>
      <c r="K774" s="27"/>
    </row>
    <row r="775" spans="6:11" ht="14.25" customHeight="1" x14ac:dyDescent="0.35">
      <c r="F775" s="26"/>
      <c r="H775" s="27"/>
      <c r="J775" s="27"/>
      <c r="K775" s="27"/>
    </row>
    <row r="776" spans="6:11" ht="14.25" customHeight="1" x14ac:dyDescent="0.35">
      <c r="F776" s="26"/>
      <c r="H776" s="27"/>
      <c r="J776" s="27"/>
      <c r="K776" s="27"/>
    </row>
    <row r="777" spans="6:11" ht="14.25" customHeight="1" x14ac:dyDescent="0.35">
      <c r="F777" s="26"/>
      <c r="H777" s="27"/>
      <c r="J777" s="27"/>
      <c r="K777" s="27"/>
    </row>
    <row r="778" spans="6:11" ht="14.25" customHeight="1" x14ac:dyDescent="0.35">
      <c r="F778" s="26"/>
      <c r="H778" s="27"/>
      <c r="J778" s="27"/>
      <c r="K778" s="27"/>
    </row>
    <row r="779" spans="6:11" ht="14.25" customHeight="1" x14ac:dyDescent="0.35">
      <c r="F779" s="26"/>
      <c r="H779" s="27"/>
      <c r="J779" s="27"/>
      <c r="K779" s="27"/>
    </row>
    <row r="780" spans="6:11" ht="14.25" customHeight="1" x14ac:dyDescent="0.35">
      <c r="F780" s="26"/>
      <c r="H780" s="27"/>
      <c r="J780" s="27"/>
      <c r="K780" s="27"/>
    </row>
    <row r="781" spans="6:11" ht="14.25" customHeight="1" x14ac:dyDescent="0.35">
      <c r="F781" s="26"/>
      <c r="H781" s="27"/>
      <c r="J781" s="27"/>
      <c r="K781" s="27"/>
    </row>
    <row r="782" spans="6:11" ht="14.25" customHeight="1" x14ac:dyDescent="0.35">
      <c r="F782" s="26"/>
      <c r="H782" s="27"/>
      <c r="J782" s="27"/>
      <c r="K782" s="27"/>
    </row>
    <row r="783" spans="6:11" ht="14.25" customHeight="1" x14ac:dyDescent="0.35">
      <c r="F783" s="26"/>
      <c r="H783" s="27"/>
      <c r="J783" s="27"/>
      <c r="K783" s="27"/>
    </row>
    <row r="784" spans="6:11" ht="14.25" customHeight="1" x14ac:dyDescent="0.35">
      <c r="F784" s="26"/>
      <c r="H784" s="27"/>
      <c r="J784" s="27"/>
      <c r="K784" s="27"/>
    </row>
    <row r="785" spans="6:11" ht="14.25" customHeight="1" x14ac:dyDescent="0.35">
      <c r="F785" s="26"/>
      <c r="H785" s="27"/>
      <c r="J785" s="27"/>
      <c r="K785" s="27"/>
    </row>
    <row r="786" spans="6:11" ht="14.25" customHeight="1" x14ac:dyDescent="0.35">
      <c r="F786" s="26"/>
      <c r="H786" s="27"/>
      <c r="J786" s="27"/>
      <c r="K786" s="27"/>
    </row>
    <row r="787" spans="6:11" ht="14.25" customHeight="1" x14ac:dyDescent="0.35">
      <c r="F787" s="26"/>
      <c r="H787" s="27"/>
      <c r="J787" s="27"/>
      <c r="K787" s="27"/>
    </row>
    <row r="788" spans="6:11" ht="14.25" customHeight="1" x14ac:dyDescent="0.35">
      <c r="F788" s="26"/>
      <c r="H788" s="27"/>
      <c r="J788" s="27"/>
      <c r="K788" s="27"/>
    </row>
    <row r="789" spans="6:11" ht="14.25" customHeight="1" x14ac:dyDescent="0.35">
      <c r="F789" s="26"/>
      <c r="H789" s="27"/>
      <c r="J789" s="27"/>
      <c r="K789" s="27"/>
    </row>
    <row r="790" spans="6:11" ht="14.25" customHeight="1" x14ac:dyDescent="0.35">
      <c r="F790" s="26"/>
      <c r="H790" s="27"/>
      <c r="J790" s="27"/>
      <c r="K790" s="27"/>
    </row>
    <row r="791" spans="6:11" ht="14.25" customHeight="1" x14ac:dyDescent="0.35">
      <c r="F791" s="26"/>
      <c r="H791" s="27"/>
      <c r="J791" s="27"/>
      <c r="K791" s="27"/>
    </row>
    <row r="792" spans="6:11" ht="14.25" customHeight="1" x14ac:dyDescent="0.35">
      <c r="F792" s="26"/>
      <c r="H792" s="27"/>
      <c r="J792" s="27"/>
      <c r="K792" s="27"/>
    </row>
    <row r="793" spans="6:11" ht="14.25" customHeight="1" x14ac:dyDescent="0.35">
      <c r="F793" s="26"/>
      <c r="H793" s="27"/>
      <c r="J793" s="27"/>
      <c r="K793" s="27"/>
    </row>
    <row r="794" spans="6:11" ht="14.25" customHeight="1" x14ac:dyDescent="0.35">
      <c r="F794" s="26"/>
      <c r="H794" s="27"/>
      <c r="J794" s="27"/>
      <c r="K794" s="27"/>
    </row>
    <row r="795" spans="6:11" ht="14.25" customHeight="1" x14ac:dyDescent="0.35">
      <c r="F795" s="26"/>
      <c r="H795" s="27"/>
      <c r="J795" s="27"/>
      <c r="K795" s="27"/>
    </row>
    <row r="796" spans="6:11" ht="14.25" customHeight="1" x14ac:dyDescent="0.35">
      <c r="F796" s="26"/>
      <c r="H796" s="27"/>
      <c r="J796" s="27"/>
      <c r="K796" s="27"/>
    </row>
    <row r="797" spans="6:11" ht="14.25" customHeight="1" x14ac:dyDescent="0.35">
      <c r="F797" s="26"/>
      <c r="H797" s="27"/>
      <c r="J797" s="27"/>
      <c r="K797" s="27"/>
    </row>
    <row r="798" spans="6:11" ht="14.25" customHeight="1" x14ac:dyDescent="0.35">
      <c r="F798" s="26"/>
      <c r="H798" s="27"/>
      <c r="J798" s="27"/>
      <c r="K798" s="27"/>
    </row>
    <row r="799" spans="6:11" ht="14.25" customHeight="1" x14ac:dyDescent="0.35">
      <c r="F799" s="26"/>
      <c r="H799" s="27"/>
      <c r="J799" s="27"/>
      <c r="K799" s="27"/>
    </row>
    <row r="800" spans="6:11" ht="14.25" customHeight="1" x14ac:dyDescent="0.35">
      <c r="F800" s="26"/>
      <c r="H800" s="27"/>
      <c r="J800" s="27"/>
      <c r="K800" s="27"/>
    </row>
    <row r="801" spans="6:11" ht="14.25" customHeight="1" x14ac:dyDescent="0.35">
      <c r="F801" s="26"/>
      <c r="H801" s="27"/>
      <c r="J801" s="27"/>
      <c r="K801" s="27"/>
    </row>
    <row r="802" spans="6:11" ht="14.25" customHeight="1" x14ac:dyDescent="0.35">
      <c r="F802" s="26"/>
      <c r="H802" s="27"/>
      <c r="J802" s="27"/>
      <c r="K802" s="27"/>
    </row>
    <row r="803" spans="6:11" ht="14.25" customHeight="1" x14ac:dyDescent="0.35">
      <c r="F803" s="26"/>
      <c r="H803" s="27"/>
      <c r="J803" s="27"/>
      <c r="K803" s="27"/>
    </row>
    <row r="804" spans="6:11" ht="14.25" customHeight="1" x14ac:dyDescent="0.35">
      <c r="F804" s="26"/>
      <c r="H804" s="27"/>
      <c r="J804" s="27"/>
      <c r="K804" s="27"/>
    </row>
    <row r="805" spans="6:11" ht="14.25" customHeight="1" x14ac:dyDescent="0.35">
      <c r="F805" s="26"/>
      <c r="H805" s="27"/>
      <c r="J805" s="27"/>
      <c r="K805" s="27"/>
    </row>
    <row r="806" spans="6:11" ht="14.25" customHeight="1" x14ac:dyDescent="0.35">
      <c r="F806" s="26"/>
      <c r="H806" s="27"/>
      <c r="J806" s="27"/>
      <c r="K806" s="27"/>
    </row>
    <row r="807" spans="6:11" ht="14.25" customHeight="1" x14ac:dyDescent="0.35">
      <c r="F807" s="26"/>
      <c r="H807" s="27"/>
      <c r="J807" s="27"/>
      <c r="K807" s="27"/>
    </row>
    <row r="808" spans="6:11" ht="14.25" customHeight="1" x14ac:dyDescent="0.35">
      <c r="F808" s="26"/>
      <c r="H808" s="27"/>
      <c r="J808" s="27"/>
      <c r="K808" s="27"/>
    </row>
    <row r="809" spans="6:11" ht="14.25" customHeight="1" x14ac:dyDescent="0.35">
      <c r="F809" s="26"/>
      <c r="H809" s="27"/>
      <c r="J809" s="27"/>
      <c r="K809" s="27"/>
    </row>
    <row r="810" spans="6:11" ht="14.25" customHeight="1" x14ac:dyDescent="0.35">
      <c r="F810" s="26"/>
      <c r="H810" s="27"/>
      <c r="J810" s="27"/>
      <c r="K810" s="27"/>
    </row>
    <row r="811" spans="6:11" ht="14.25" customHeight="1" x14ac:dyDescent="0.35">
      <c r="F811" s="26"/>
      <c r="H811" s="27"/>
      <c r="J811" s="27"/>
      <c r="K811" s="27"/>
    </row>
    <row r="812" spans="6:11" ht="14.25" customHeight="1" x14ac:dyDescent="0.35">
      <c r="F812" s="26"/>
      <c r="H812" s="27"/>
      <c r="J812" s="27"/>
      <c r="K812" s="27"/>
    </row>
    <row r="813" spans="6:11" ht="14.25" customHeight="1" x14ac:dyDescent="0.35">
      <c r="F813" s="26"/>
      <c r="H813" s="27"/>
      <c r="J813" s="27"/>
      <c r="K813" s="27"/>
    </row>
    <row r="814" spans="6:11" ht="14.25" customHeight="1" x14ac:dyDescent="0.35">
      <c r="F814" s="26"/>
      <c r="H814" s="27"/>
      <c r="J814" s="27"/>
      <c r="K814" s="27"/>
    </row>
    <row r="815" spans="6:11" ht="14.25" customHeight="1" x14ac:dyDescent="0.35">
      <c r="F815" s="26"/>
      <c r="H815" s="27"/>
      <c r="J815" s="27"/>
      <c r="K815" s="27"/>
    </row>
    <row r="816" spans="6:11" ht="14.25" customHeight="1" x14ac:dyDescent="0.35">
      <c r="F816" s="26"/>
      <c r="H816" s="27"/>
      <c r="J816" s="27"/>
      <c r="K816" s="27"/>
    </row>
    <row r="817" spans="6:11" ht="14.25" customHeight="1" x14ac:dyDescent="0.35">
      <c r="F817" s="26"/>
      <c r="H817" s="27"/>
      <c r="J817" s="27"/>
      <c r="K817" s="27"/>
    </row>
    <row r="818" spans="6:11" ht="14.25" customHeight="1" x14ac:dyDescent="0.35">
      <c r="F818" s="26"/>
      <c r="H818" s="27"/>
      <c r="J818" s="27"/>
      <c r="K818" s="27"/>
    </row>
    <row r="819" spans="6:11" ht="14.25" customHeight="1" x14ac:dyDescent="0.35">
      <c r="F819" s="26"/>
      <c r="H819" s="27"/>
      <c r="J819" s="27"/>
      <c r="K819" s="27"/>
    </row>
    <row r="820" spans="6:11" ht="14.25" customHeight="1" x14ac:dyDescent="0.35">
      <c r="F820" s="26"/>
      <c r="H820" s="27"/>
      <c r="J820" s="27"/>
      <c r="K820" s="27"/>
    </row>
    <row r="821" spans="6:11" ht="14.25" customHeight="1" x14ac:dyDescent="0.35">
      <c r="F821" s="26"/>
      <c r="H821" s="27"/>
      <c r="J821" s="27"/>
      <c r="K821" s="27"/>
    </row>
    <row r="822" spans="6:11" ht="14.25" customHeight="1" x14ac:dyDescent="0.35">
      <c r="F822" s="26"/>
      <c r="H822" s="27"/>
      <c r="J822" s="27"/>
      <c r="K822" s="27"/>
    </row>
    <row r="823" spans="6:11" ht="14.25" customHeight="1" x14ac:dyDescent="0.35">
      <c r="F823" s="26"/>
      <c r="H823" s="27"/>
      <c r="J823" s="27"/>
      <c r="K823" s="27"/>
    </row>
    <row r="824" spans="6:11" ht="14.25" customHeight="1" x14ac:dyDescent="0.35">
      <c r="F824" s="26"/>
      <c r="H824" s="27"/>
      <c r="J824" s="27"/>
      <c r="K824" s="27"/>
    </row>
    <row r="825" spans="6:11" ht="14.25" customHeight="1" x14ac:dyDescent="0.35">
      <c r="F825" s="26"/>
      <c r="H825" s="27"/>
      <c r="J825" s="27"/>
      <c r="K825" s="27"/>
    </row>
    <row r="826" spans="6:11" ht="14.25" customHeight="1" x14ac:dyDescent="0.35">
      <c r="F826" s="26"/>
      <c r="H826" s="27"/>
      <c r="J826" s="27"/>
      <c r="K826" s="27"/>
    </row>
    <row r="827" spans="6:11" ht="14.25" customHeight="1" x14ac:dyDescent="0.35">
      <c r="F827" s="26"/>
      <c r="H827" s="27"/>
      <c r="J827" s="27"/>
      <c r="K827" s="27"/>
    </row>
    <row r="828" spans="6:11" ht="14.25" customHeight="1" x14ac:dyDescent="0.35">
      <c r="F828" s="26"/>
      <c r="H828" s="27"/>
      <c r="J828" s="27"/>
      <c r="K828" s="27"/>
    </row>
    <row r="829" spans="6:11" ht="14.25" customHeight="1" x14ac:dyDescent="0.35">
      <c r="F829" s="26"/>
      <c r="H829" s="27"/>
      <c r="J829" s="27"/>
      <c r="K829" s="27"/>
    </row>
    <row r="830" spans="6:11" ht="14.25" customHeight="1" x14ac:dyDescent="0.35">
      <c r="F830" s="26"/>
      <c r="H830" s="27"/>
      <c r="J830" s="27"/>
      <c r="K830" s="27"/>
    </row>
    <row r="831" spans="6:11" ht="14.25" customHeight="1" x14ac:dyDescent="0.35">
      <c r="F831" s="26"/>
      <c r="H831" s="27"/>
      <c r="J831" s="27"/>
      <c r="K831" s="27"/>
    </row>
    <row r="832" spans="6:11" ht="14.25" customHeight="1" x14ac:dyDescent="0.35">
      <c r="F832" s="26"/>
      <c r="H832" s="27"/>
      <c r="J832" s="27"/>
      <c r="K832" s="27"/>
    </row>
    <row r="833" spans="6:11" ht="14.25" customHeight="1" x14ac:dyDescent="0.35">
      <c r="F833" s="26"/>
      <c r="H833" s="27"/>
      <c r="J833" s="27"/>
      <c r="K833" s="27"/>
    </row>
    <row r="834" spans="6:11" ht="14.25" customHeight="1" x14ac:dyDescent="0.35">
      <c r="F834" s="26"/>
      <c r="H834" s="27"/>
      <c r="J834" s="27"/>
      <c r="K834" s="27"/>
    </row>
    <row r="835" spans="6:11" ht="14.25" customHeight="1" x14ac:dyDescent="0.35">
      <c r="F835" s="26"/>
      <c r="H835" s="27"/>
      <c r="J835" s="27"/>
      <c r="K835" s="27"/>
    </row>
    <row r="836" spans="6:11" ht="14.25" customHeight="1" x14ac:dyDescent="0.35">
      <c r="F836" s="26"/>
      <c r="H836" s="27"/>
      <c r="J836" s="27"/>
      <c r="K836" s="27"/>
    </row>
    <row r="837" spans="6:11" ht="14.25" customHeight="1" x14ac:dyDescent="0.35">
      <c r="F837" s="26"/>
      <c r="H837" s="27"/>
      <c r="J837" s="27"/>
      <c r="K837" s="27"/>
    </row>
    <row r="838" spans="6:11" ht="14.25" customHeight="1" x14ac:dyDescent="0.35">
      <c r="F838" s="26"/>
      <c r="H838" s="27"/>
      <c r="J838" s="27"/>
      <c r="K838" s="27"/>
    </row>
    <row r="839" spans="6:11" ht="14.25" customHeight="1" x14ac:dyDescent="0.35">
      <c r="F839" s="26"/>
      <c r="H839" s="27"/>
      <c r="J839" s="27"/>
      <c r="K839" s="27"/>
    </row>
    <row r="840" spans="6:11" ht="14.25" customHeight="1" x14ac:dyDescent="0.35">
      <c r="F840" s="26"/>
      <c r="H840" s="27"/>
      <c r="J840" s="27"/>
      <c r="K840" s="27"/>
    </row>
    <row r="841" spans="6:11" ht="14.25" customHeight="1" x14ac:dyDescent="0.35">
      <c r="F841" s="26"/>
      <c r="H841" s="27"/>
      <c r="J841" s="27"/>
      <c r="K841" s="27"/>
    </row>
    <row r="842" spans="6:11" ht="14.25" customHeight="1" x14ac:dyDescent="0.35">
      <c r="F842" s="26"/>
      <c r="H842" s="27"/>
      <c r="J842" s="27"/>
      <c r="K842" s="27"/>
    </row>
    <row r="843" spans="6:11" ht="14.25" customHeight="1" x14ac:dyDescent="0.35">
      <c r="F843" s="26"/>
      <c r="H843" s="27"/>
      <c r="J843" s="27"/>
      <c r="K843" s="27"/>
    </row>
    <row r="844" spans="6:11" ht="14.25" customHeight="1" x14ac:dyDescent="0.35">
      <c r="F844" s="26"/>
      <c r="H844" s="27"/>
      <c r="J844" s="27"/>
      <c r="K844" s="27"/>
    </row>
    <row r="845" spans="6:11" ht="14.25" customHeight="1" x14ac:dyDescent="0.35">
      <c r="F845" s="26"/>
      <c r="H845" s="27"/>
      <c r="J845" s="27"/>
      <c r="K845" s="27"/>
    </row>
    <row r="846" spans="6:11" ht="14.25" customHeight="1" x14ac:dyDescent="0.35">
      <c r="F846" s="26"/>
      <c r="H846" s="27"/>
      <c r="J846" s="27"/>
      <c r="K846" s="27"/>
    </row>
    <row r="847" spans="6:11" ht="14.25" customHeight="1" x14ac:dyDescent="0.35">
      <c r="F847" s="26"/>
      <c r="H847" s="27"/>
      <c r="J847" s="27"/>
      <c r="K847" s="27"/>
    </row>
    <row r="848" spans="6:11" ht="14.25" customHeight="1" x14ac:dyDescent="0.35">
      <c r="F848" s="26"/>
      <c r="H848" s="27"/>
      <c r="J848" s="27"/>
      <c r="K848" s="27"/>
    </row>
    <row r="849" spans="6:11" ht="14.25" customHeight="1" x14ac:dyDescent="0.35">
      <c r="F849" s="26"/>
      <c r="H849" s="27"/>
      <c r="J849" s="27"/>
      <c r="K849" s="27"/>
    </row>
    <row r="850" spans="6:11" ht="14.25" customHeight="1" x14ac:dyDescent="0.35">
      <c r="F850" s="26"/>
      <c r="H850" s="27"/>
      <c r="J850" s="27"/>
      <c r="K850" s="27"/>
    </row>
    <row r="851" spans="6:11" ht="14.25" customHeight="1" x14ac:dyDescent="0.35">
      <c r="F851" s="26"/>
      <c r="H851" s="27"/>
      <c r="J851" s="27"/>
      <c r="K851" s="27"/>
    </row>
    <row r="852" spans="6:11" ht="14.25" customHeight="1" x14ac:dyDescent="0.35">
      <c r="F852" s="26"/>
      <c r="H852" s="27"/>
      <c r="J852" s="27"/>
      <c r="K852" s="27"/>
    </row>
    <row r="853" spans="6:11" ht="14.25" customHeight="1" x14ac:dyDescent="0.35">
      <c r="F853" s="26"/>
      <c r="H853" s="27"/>
      <c r="J853" s="27"/>
      <c r="K853" s="27"/>
    </row>
    <row r="854" spans="6:11" ht="14.25" customHeight="1" x14ac:dyDescent="0.35">
      <c r="F854" s="26"/>
      <c r="H854" s="27"/>
      <c r="J854" s="27"/>
      <c r="K854" s="27"/>
    </row>
    <row r="855" spans="6:11" ht="14.25" customHeight="1" x14ac:dyDescent="0.35">
      <c r="F855" s="26"/>
      <c r="H855" s="27"/>
      <c r="J855" s="27"/>
      <c r="K855" s="27"/>
    </row>
    <row r="856" spans="6:11" ht="14.25" customHeight="1" x14ac:dyDescent="0.35">
      <c r="F856" s="26"/>
      <c r="H856" s="27"/>
      <c r="J856" s="27"/>
      <c r="K856" s="27"/>
    </row>
    <row r="857" spans="6:11" ht="14.25" customHeight="1" x14ac:dyDescent="0.35">
      <c r="F857" s="26"/>
      <c r="H857" s="27"/>
      <c r="J857" s="27"/>
      <c r="K857" s="27"/>
    </row>
    <row r="858" spans="6:11" ht="14.25" customHeight="1" x14ac:dyDescent="0.35">
      <c r="F858" s="26"/>
      <c r="H858" s="27"/>
      <c r="J858" s="27"/>
      <c r="K858" s="27"/>
    </row>
    <row r="859" spans="6:11" ht="14.25" customHeight="1" x14ac:dyDescent="0.35">
      <c r="F859" s="26"/>
      <c r="H859" s="27"/>
      <c r="J859" s="27"/>
      <c r="K859" s="27"/>
    </row>
    <row r="860" spans="6:11" ht="14.25" customHeight="1" x14ac:dyDescent="0.35">
      <c r="F860" s="26"/>
      <c r="H860" s="27"/>
      <c r="J860" s="27"/>
      <c r="K860" s="27"/>
    </row>
    <row r="861" spans="6:11" ht="14.25" customHeight="1" x14ac:dyDescent="0.35">
      <c r="F861" s="26"/>
      <c r="H861" s="27"/>
      <c r="J861" s="27"/>
      <c r="K861" s="27"/>
    </row>
    <row r="862" spans="6:11" ht="14.25" customHeight="1" x14ac:dyDescent="0.35">
      <c r="F862" s="26"/>
      <c r="H862" s="27"/>
      <c r="J862" s="27"/>
      <c r="K862" s="27"/>
    </row>
    <row r="863" spans="6:11" ht="14.25" customHeight="1" x14ac:dyDescent="0.35">
      <c r="F863" s="26"/>
      <c r="H863" s="27"/>
      <c r="J863" s="27"/>
      <c r="K863" s="27"/>
    </row>
    <row r="864" spans="6:11" ht="14.25" customHeight="1" x14ac:dyDescent="0.35">
      <c r="F864" s="26"/>
      <c r="H864" s="27"/>
      <c r="J864" s="27"/>
      <c r="K864" s="27"/>
    </row>
    <row r="865" spans="6:11" ht="14.25" customHeight="1" x14ac:dyDescent="0.35">
      <c r="F865" s="26"/>
      <c r="H865" s="27"/>
      <c r="J865" s="27"/>
      <c r="K865" s="27"/>
    </row>
    <row r="866" spans="6:11" ht="14.25" customHeight="1" x14ac:dyDescent="0.35">
      <c r="F866" s="26"/>
      <c r="H866" s="27"/>
      <c r="J866" s="27"/>
      <c r="K866" s="27"/>
    </row>
    <row r="867" spans="6:11" ht="14.25" customHeight="1" x14ac:dyDescent="0.35">
      <c r="F867" s="26"/>
      <c r="H867" s="27"/>
      <c r="J867" s="27"/>
      <c r="K867" s="27"/>
    </row>
    <row r="868" spans="6:11" ht="14.25" customHeight="1" x14ac:dyDescent="0.35">
      <c r="F868" s="26"/>
      <c r="H868" s="27"/>
      <c r="J868" s="27"/>
      <c r="K868" s="27"/>
    </row>
    <row r="869" spans="6:11" ht="14.25" customHeight="1" x14ac:dyDescent="0.35">
      <c r="F869" s="26"/>
      <c r="H869" s="27"/>
      <c r="J869" s="27"/>
      <c r="K869" s="27"/>
    </row>
    <row r="870" spans="6:11" ht="14.25" customHeight="1" x14ac:dyDescent="0.35">
      <c r="F870" s="26"/>
      <c r="H870" s="27"/>
      <c r="J870" s="27"/>
      <c r="K870" s="27"/>
    </row>
    <row r="871" spans="6:11" ht="14.25" customHeight="1" x14ac:dyDescent="0.35">
      <c r="F871" s="26"/>
      <c r="H871" s="27"/>
      <c r="J871" s="27"/>
      <c r="K871" s="27"/>
    </row>
    <row r="872" spans="6:11" ht="14.25" customHeight="1" x14ac:dyDescent="0.35">
      <c r="F872" s="26"/>
      <c r="H872" s="27"/>
      <c r="J872" s="27"/>
      <c r="K872" s="27"/>
    </row>
    <row r="873" spans="6:11" ht="14.25" customHeight="1" x14ac:dyDescent="0.35">
      <c r="F873" s="26"/>
      <c r="H873" s="27"/>
      <c r="J873" s="27"/>
      <c r="K873" s="27"/>
    </row>
    <row r="874" spans="6:11" ht="14.25" customHeight="1" x14ac:dyDescent="0.35">
      <c r="F874" s="26"/>
      <c r="H874" s="27"/>
      <c r="J874" s="27"/>
      <c r="K874" s="27"/>
    </row>
    <row r="875" spans="6:11" ht="14.25" customHeight="1" x14ac:dyDescent="0.35">
      <c r="F875" s="26"/>
      <c r="H875" s="27"/>
      <c r="J875" s="27"/>
      <c r="K875" s="27"/>
    </row>
    <row r="876" spans="6:11" ht="14.25" customHeight="1" x14ac:dyDescent="0.35">
      <c r="F876" s="26"/>
      <c r="H876" s="27"/>
      <c r="J876" s="27"/>
      <c r="K876" s="27"/>
    </row>
    <row r="877" spans="6:11" ht="14.25" customHeight="1" x14ac:dyDescent="0.35">
      <c r="F877" s="26"/>
      <c r="H877" s="27"/>
      <c r="J877" s="27"/>
      <c r="K877" s="27"/>
    </row>
    <row r="878" spans="6:11" ht="14.25" customHeight="1" x14ac:dyDescent="0.35">
      <c r="F878" s="26"/>
      <c r="H878" s="27"/>
      <c r="J878" s="27"/>
      <c r="K878" s="27"/>
    </row>
    <row r="879" spans="6:11" ht="14.25" customHeight="1" x14ac:dyDescent="0.35">
      <c r="F879" s="26"/>
      <c r="H879" s="27"/>
      <c r="J879" s="27"/>
      <c r="K879" s="27"/>
    </row>
    <row r="880" spans="6:11" ht="14.25" customHeight="1" x14ac:dyDescent="0.35">
      <c r="F880" s="26"/>
      <c r="H880" s="27"/>
      <c r="J880" s="27"/>
      <c r="K880" s="27"/>
    </row>
    <row r="881" spans="6:11" ht="14.25" customHeight="1" x14ac:dyDescent="0.35">
      <c r="F881" s="26"/>
      <c r="H881" s="27"/>
      <c r="J881" s="27"/>
      <c r="K881" s="27"/>
    </row>
    <row r="882" spans="6:11" ht="14.25" customHeight="1" x14ac:dyDescent="0.35">
      <c r="F882" s="26"/>
      <c r="H882" s="27"/>
      <c r="J882" s="27"/>
      <c r="K882" s="27"/>
    </row>
    <row r="883" spans="6:11" ht="14.25" customHeight="1" x14ac:dyDescent="0.35">
      <c r="F883" s="26"/>
      <c r="H883" s="27"/>
      <c r="J883" s="27"/>
      <c r="K883" s="27"/>
    </row>
    <row r="884" spans="6:11" ht="14.25" customHeight="1" x14ac:dyDescent="0.35">
      <c r="F884" s="26"/>
      <c r="H884" s="27"/>
      <c r="J884" s="27"/>
      <c r="K884" s="27"/>
    </row>
    <row r="885" spans="6:11" ht="14.25" customHeight="1" x14ac:dyDescent="0.35">
      <c r="F885" s="26"/>
      <c r="H885" s="27"/>
      <c r="J885" s="27"/>
      <c r="K885" s="27"/>
    </row>
    <row r="886" spans="6:11" ht="14.25" customHeight="1" x14ac:dyDescent="0.35">
      <c r="F886" s="26"/>
      <c r="H886" s="27"/>
      <c r="J886" s="27"/>
      <c r="K886" s="27"/>
    </row>
    <row r="887" spans="6:11" ht="14.25" customHeight="1" x14ac:dyDescent="0.35">
      <c r="F887" s="26"/>
      <c r="H887" s="27"/>
      <c r="J887" s="27"/>
      <c r="K887" s="27"/>
    </row>
    <row r="888" spans="6:11" ht="14.25" customHeight="1" x14ac:dyDescent="0.35">
      <c r="F888" s="26"/>
      <c r="H888" s="27"/>
      <c r="J888" s="27"/>
      <c r="K888" s="27"/>
    </row>
    <row r="889" spans="6:11" ht="14.25" customHeight="1" x14ac:dyDescent="0.35">
      <c r="F889" s="26"/>
      <c r="H889" s="27"/>
      <c r="J889" s="27"/>
      <c r="K889" s="27"/>
    </row>
    <row r="890" spans="6:11" ht="14.25" customHeight="1" x14ac:dyDescent="0.35">
      <c r="F890" s="26"/>
      <c r="H890" s="27"/>
      <c r="J890" s="27"/>
      <c r="K890" s="27"/>
    </row>
    <row r="891" spans="6:11" ht="14.25" customHeight="1" x14ac:dyDescent="0.35">
      <c r="F891" s="26"/>
      <c r="H891" s="27"/>
      <c r="J891" s="27"/>
      <c r="K891" s="27"/>
    </row>
    <row r="892" spans="6:11" ht="14.25" customHeight="1" x14ac:dyDescent="0.35">
      <c r="F892" s="26"/>
      <c r="H892" s="27"/>
      <c r="J892" s="27"/>
      <c r="K892" s="27"/>
    </row>
    <row r="893" spans="6:11" ht="14.25" customHeight="1" x14ac:dyDescent="0.35">
      <c r="F893" s="26"/>
      <c r="H893" s="27"/>
      <c r="J893" s="27"/>
      <c r="K893" s="27"/>
    </row>
    <row r="894" spans="6:11" ht="14.25" customHeight="1" x14ac:dyDescent="0.35">
      <c r="F894" s="26"/>
      <c r="H894" s="27"/>
      <c r="J894" s="27"/>
      <c r="K894" s="27"/>
    </row>
    <row r="895" spans="6:11" ht="14.25" customHeight="1" x14ac:dyDescent="0.35">
      <c r="F895" s="26"/>
      <c r="H895" s="27"/>
      <c r="J895" s="27"/>
      <c r="K895" s="27"/>
    </row>
    <row r="896" spans="6:11" ht="14.25" customHeight="1" x14ac:dyDescent="0.35">
      <c r="F896" s="26"/>
      <c r="H896" s="27"/>
      <c r="J896" s="27"/>
      <c r="K896" s="27"/>
    </row>
    <row r="897" spans="6:11" ht="14.25" customHeight="1" x14ac:dyDescent="0.35">
      <c r="F897" s="26"/>
      <c r="H897" s="27"/>
      <c r="J897" s="27"/>
      <c r="K897" s="27"/>
    </row>
    <row r="898" spans="6:11" ht="14.25" customHeight="1" x14ac:dyDescent="0.35">
      <c r="F898" s="26"/>
      <c r="H898" s="27"/>
      <c r="J898" s="27"/>
      <c r="K898" s="27"/>
    </row>
    <row r="899" spans="6:11" ht="14.25" customHeight="1" x14ac:dyDescent="0.35">
      <c r="F899" s="26"/>
      <c r="H899" s="27"/>
      <c r="J899" s="27"/>
      <c r="K899" s="27"/>
    </row>
    <row r="900" spans="6:11" ht="14.25" customHeight="1" x14ac:dyDescent="0.35">
      <c r="F900" s="26"/>
      <c r="H900" s="27"/>
      <c r="J900" s="27"/>
      <c r="K900" s="27"/>
    </row>
    <row r="901" spans="6:11" ht="14.25" customHeight="1" x14ac:dyDescent="0.35">
      <c r="F901" s="26"/>
      <c r="H901" s="27"/>
      <c r="J901" s="27"/>
      <c r="K901" s="27"/>
    </row>
    <row r="902" spans="6:11" ht="14.25" customHeight="1" x14ac:dyDescent="0.35">
      <c r="F902" s="26"/>
      <c r="H902" s="27"/>
      <c r="J902" s="27"/>
      <c r="K902" s="27"/>
    </row>
    <row r="903" spans="6:11" ht="14.25" customHeight="1" x14ac:dyDescent="0.35">
      <c r="F903" s="26"/>
      <c r="H903" s="27"/>
      <c r="J903" s="27"/>
      <c r="K903" s="27"/>
    </row>
    <row r="904" spans="6:11" ht="14.25" customHeight="1" x14ac:dyDescent="0.35">
      <c r="F904" s="26"/>
      <c r="H904" s="27"/>
      <c r="J904" s="27"/>
      <c r="K904" s="27"/>
    </row>
    <row r="905" spans="6:11" ht="14.25" customHeight="1" x14ac:dyDescent="0.35">
      <c r="F905" s="26"/>
      <c r="H905" s="27"/>
      <c r="J905" s="27"/>
      <c r="K905" s="27"/>
    </row>
    <row r="906" spans="6:11" ht="14.25" customHeight="1" x14ac:dyDescent="0.35">
      <c r="F906" s="26"/>
      <c r="H906" s="27"/>
      <c r="J906" s="27"/>
      <c r="K906" s="27"/>
    </row>
    <row r="907" spans="6:11" ht="14.25" customHeight="1" x14ac:dyDescent="0.35">
      <c r="F907" s="26"/>
      <c r="H907" s="27"/>
      <c r="J907" s="27"/>
      <c r="K907" s="27"/>
    </row>
    <row r="908" spans="6:11" ht="14.25" customHeight="1" x14ac:dyDescent="0.35">
      <c r="F908" s="26"/>
      <c r="H908" s="27"/>
      <c r="J908" s="27"/>
      <c r="K908" s="27"/>
    </row>
    <row r="909" spans="6:11" ht="14.25" customHeight="1" x14ac:dyDescent="0.35">
      <c r="F909" s="26"/>
      <c r="H909" s="27"/>
      <c r="J909" s="27"/>
      <c r="K909" s="27"/>
    </row>
    <row r="910" spans="6:11" ht="14.25" customHeight="1" x14ac:dyDescent="0.35">
      <c r="F910" s="26"/>
      <c r="H910" s="27"/>
      <c r="J910" s="27"/>
      <c r="K910" s="27"/>
    </row>
    <row r="911" spans="6:11" ht="14.25" customHeight="1" x14ac:dyDescent="0.35">
      <c r="F911" s="26"/>
      <c r="H911" s="27"/>
      <c r="J911" s="27"/>
      <c r="K911" s="27"/>
    </row>
    <row r="912" spans="6:11" ht="14.25" customHeight="1" x14ac:dyDescent="0.35">
      <c r="F912" s="26"/>
      <c r="H912" s="27"/>
      <c r="J912" s="27"/>
      <c r="K912" s="27"/>
    </row>
    <row r="913" spans="6:11" ht="14.25" customHeight="1" x14ac:dyDescent="0.35">
      <c r="F913" s="26"/>
      <c r="H913" s="27"/>
      <c r="J913" s="27"/>
      <c r="K913" s="27"/>
    </row>
    <row r="914" spans="6:11" ht="14.25" customHeight="1" x14ac:dyDescent="0.35">
      <c r="F914" s="26"/>
      <c r="H914" s="27"/>
      <c r="J914" s="27"/>
      <c r="K914" s="27"/>
    </row>
    <row r="915" spans="6:11" ht="14.25" customHeight="1" x14ac:dyDescent="0.35">
      <c r="F915" s="26"/>
      <c r="H915" s="27"/>
      <c r="J915" s="27"/>
      <c r="K915" s="27"/>
    </row>
    <row r="916" spans="6:11" ht="14.25" customHeight="1" x14ac:dyDescent="0.35">
      <c r="F916" s="26"/>
      <c r="H916" s="27"/>
      <c r="J916" s="27"/>
      <c r="K916" s="27"/>
    </row>
    <row r="917" spans="6:11" ht="14.25" customHeight="1" x14ac:dyDescent="0.35">
      <c r="F917" s="26"/>
      <c r="H917" s="27"/>
      <c r="J917" s="27"/>
      <c r="K917" s="27"/>
    </row>
    <row r="918" spans="6:11" ht="14.25" customHeight="1" x14ac:dyDescent="0.35">
      <c r="F918" s="26"/>
      <c r="H918" s="27"/>
      <c r="J918" s="27"/>
      <c r="K918" s="27"/>
    </row>
    <row r="919" spans="6:11" ht="14.25" customHeight="1" x14ac:dyDescent="0.35">
      <c r="F919" s="26"/>
      <c r="H919" s="27"/>
      <c r="J919" s="27"/>
      <c r="K919" s="27"/>
    </row>
    <row r="920" spans="6:11" ht="14.25" customHeight="1" x14ac:dyDescent="0.35">
      <c r="F920" s="26"/>
      <c r="H920" s="27"/>
      <c r="J920" s="27"/>
      <c r="K920" s="27"/>
    </row>
    <row r="921" spans="6:11" ht="14.25" customHeight="1" x14ac:dyDescent="0.35">
      <c r="F921" s="26"/>
      <c r="H921" s="27"/>
      <c r="J921" s="27"/>
      <c r="K921" s="27"/>
    </row>
    <row r="922" spans="6:11" ht="14.25" customHeight="1" x14ac:dyDescent="0.35">
      <c r="F922" s="26"/>
      <c r="H922" s="27"/>
      <c r="J922" s="27"/>
      <c r="K922" s="27"/>
    </row>
    <row r="923" spans="6:11" ht="14.25" customHeight="1" x14ac:dyDescent="0.35">
      <c r="F923" s="26"/>
      <c r="H923" s="27"/>
      <c r="J923" s="27"/>
      <c r="K923" s="27"/>
    </row>
    <row r="924" spans="6:11" ht="14.25" customHeight="1" x14ac:dyDescent="0.35">
      <c r="F924" s="26"/>
      <c r="H924" s="27"/>
      <c r="J924" s="27"/>
      <c r="K924" s="27"/>
    </row>
    <row r="925" spans="6:11" ht="14.25" customHeight="1" x14ac:dyDescent="0.35">
      <c r="F925" s="26"/>
      <c r="H925" s="27"/>
      <c r="J925" s="27"/>
      <c r="K925" s="27"/>
    </row>
    <row r="926" spans="6:11" ht="14.25" customHeight="1" x14ac:dyDescent="0.35">
      <c r="F926" s="26"/>
      <c r="H926" s="27"/>
      <c r="J926" s="27"/>
      <c r="K926" s="27"/>
    </row>
    <row r="927" spans="6:11" ht="14.25" customHeight="1" x14ac:dyDescent="0.35">
      <c r="F927" s="26"/>
      <c r="H927" s="27"/>
      <c r="J927" s="27"/>
      <c r="K927" s="27"/>
    </row>
    <row r="928" spans="6:11" ht="14.25" customHeight="1" x14ac:dyDescent="0.35">
      <c r="F928" s="26"/>
      <c r="H928" s="27"/>
      <c r="J928" s="27"/>
      <c r="K928" s="27"/>
    </row>
    <row r="929" spans="6:11" ht="14.25" customHeight="1" x14ac:dyDescent="0.35">
      <c r="F929" s="26"/>
      <c r="H929" s="27"/>
      <c r="J929" s="27"/>
      <c r="K929" s="27"/>
    </row>
    <row r="930" spans="6:11" ht="14.25" customHeight="1" x14ac:dyDescent="0.35">
      <c r="F930" s="26"/>
      <c r="H930" s="27"/>
      <c r="J930" s="27"/>
      <c r="K930" s="27"/>
    </row>
    <row r="931" spans="6:11" ht="14.25" customHeight="1" x14ac:dyDescent="0.35">
      <c r="F931" s="26"/>
      <c r="H931" s="27"/>
      <c r="J931" s="27"/>
      <c r="K931" s="27"/>
    </row>
    <row r="932" spans="6:11" ht="14.25" customHeight="1" x14ac:dyDescent="0.35">
      <c r="F932" s="26"/>
      <c r="H932" s="27"/>
      <c r="J932" s="27"/>
      <c r="K932" s="27"/>
    </row>
    <row r="933" spans="6:11" ht="14.25" customHeight="1" x14ac:dyDescent="0.35">
      <c r="F933" s="26"/>
      <c r="H933" s="27"/>
      <c r="J933" s="27"/>
      <c r="K933" s="27"/>
    </row>
    <row r="934" spans="6:11" ht="14.25" customHeight="1" x14ac:dyDescent="0.35">
      <c r="F934" s="26"/>
      <c r="H934" s="27"/>
      <c r="J934" s="27"/>
      <c r="K934" s="27"/>
    </row>
    <row r="935" spans="6:11" ht="14.25" customHeight="1" x14ac:dyDescent="0.35">
      <c r="F935" s="26"/>
      <c r="H935" s="27"/>
      <c r="J935" s="27"/>
      <c r="K935" s="27"/>
    </row>
    <row r="936" spans="6:11" ht="14.25" customHeight="1" x14ac:dyDescent="0.35">
      <c r="F936" s="26"/>
      <c r="H936" s="27"/>
      <c r="J936" s="27"/>
      <c r="K936" s="27"/>
    </row>
    <row r="937" spans="6:11" ht="14.25" customHeight="1" x14ac:dyDescent="0.35">
      <c r="F937" s="26"/>
      <c r="H937" s="27"/>
      <c r="J937" s="27"/>
      <c r="K937" s="27"/>
    </row>
    <row r="938" spans="6:11" ht="14.25" customHeight="1" x14ac:dyDescent="0.35">
      <c r="F938" s="26"/>
      <c r="H938" s="27"/>
      <c r="J938" s="27"/>
      <c r="K938" s="27"/>
    </row>
    <row r="939" spans="6:11" ht="14.25" customHeight="1" x14ac:dyDescent="0.35">
      <c r="F939" s="26"/>
      <c r="H939" s="27"/>
      <c r="J939" s="27"/>
      <c r="K939" s="27"/>
    </row>
    <row r="940" spans="6:11" ht="14.25" customHeight="1" x14ac:dyDescent="0.35">
      <c r="F940" s="26"/>
      <c r="H940" s="27"/>
      <c r="J940" s="27"/>
      <c r="K940" s="27"/>
    </row>
    <row r="941" spans="6:11" ht="14.25" customHeight="1" x14ac:dyDescent="0.35">
      <c r="F941" s="26"/>
      <c r="H941" s="27"/>
      <c r="J941" s="27"/>
      <c r="K941" s="27"/>
    </row>
    <row r="942" spans="6:11" ht="14.25" customHeight="1" x14ac:dyDescent="0.35">
      <c r="F942" s="26"/>
      <c r="H942" s="27"/>
      <c r="J942" s="27"/>
      <c r="K942" s="27"/>
    </row>
    <row r="943" spans="6:11" ht="14.25" customHeight="1" x14ac:dyDescent="0.35">
      <c r="F943" s="26"/>
      <c r="H943" s="27"/>
      <c r="J943" s="27"/>
      <c r="K943" s="27"/>
    </row>
    <row r="944" spans="6:11" ht="14.25" customHeight="1" x14ac:dyDescent="0.35">
      <c r="F944" s="26"/>
      <c r="H944" s="27"/>
      <c r="J944" s="27"/>
      <c r="K944" s="27"/>
    </row>
    <row r="945" spans="6:11" ht="14.25" customHeight="1" x14ac:dyDescent="0.35">
      <c r="F945" s="26"/>
      <c r="H945" s="27"/>
      <c r="J945" s="27"/>
      <c r="K945" s="27"/>
    </row>
    <row r="946" spans="6:11" ht="14.25" customHeight="1" x14ac:dyDescent="0.35">
      <c r="F946" s="26"/>
      <c r="H946" s="27"/>
      <c r="J946" s="27"/>
      <c r="K946" s="27"/>
    </row>
    <row r="947" spans="6:11" ht="14.25" customHeight="1" x14ac:dyDescent="0.35">
      <c r="F947" s="26"/>
      <c r="H947" s="27"/>
      <c r="J947" s="27"/>
      <c r="K947" s="27"/>
    </row>
    <row r="948" spans="6:11" ht="14.25" customHeight="1" x14ac:dyDescent="0.35">
      <c r="F948" s="26"/>
      <c r="H948" s="27"/>
      <c r="J948" s="27"/>
      <c r="K948" s="27"/>
    </row>
    <row r="949" spans="6:11" ht="14.25" customHeight="1" x14ac:dyDescent="0.35">
      <c r="F949" s="26"/>
      <c r="H949" s="27"/>
      <c r="J949" s="27"/>
      <c r="K949" s="27"/>
    </row>
    <row r="950" spans="6:11" ht="14.25" customHeight="1" x14ac:dyDescent="0.35">
      <c r="F950" s="26"/>
      <c r="H950" s="27"/>
      <c r="J950" s="27"/>
      <c r="K950" s="27"/>
    </row>
    <row r="951" spans="6:11" ht="14.25" customHeight="1" x14ac:dyDescent="0.35">
      <c r="F951" s="26"/>
      <c r="H951" s="27"/>
      <c r="J951" s="27"/>
      <c r="K951" s="27"/>
    </row>
    <row r="952" spans="6:11" ht="14.25" customHeight="1" x14ac:dyDescent="0.35">
      <c r="F952" s="26"/>
      <c r="H952" s="27"/>
      <c r="J952" s="27"/>
      <c r="K952" s="27"/>
    </row>
    <row r="953" spans="6:11" ht="14.25" customHeight="1" x14ac:dyDescent="0.35">
      <c r="F953" s="26"/>
      <c r="H953" s="27"/>
      <c r="J953" s="27"/>
      <c r="K953" s="27"/>
    </row>
    <row r="954" spans="6:11" ht="14.25" customHeight="1" x14ac:dyDescent="0.35">
      <c r="F954" s="26"/>
      <c r="H954" s="27"/>
      <c r="J954" s="27"/>
      <c r="K954" s="27"/>
    </row>
    <row r="955" spans="6:11" ht="14.25" customHeight="1" x14ac:dyDescent="0.35">
      <c r="F955" s="26"/>
      <c r="H955" s="27"/>
      <c r="J955" s="27"/>
      <c r="K955" s="27"/>
    </row>
    <row r="956" spans="6:11" ht="14.25" customHeight="1" x14ac:dyDescent="0.35">
      <c r="F956" s="26"/>
      <c r="H956" s="27"/>
      <c r="J956" s="27"/>
      <c r="K956" s="27"/>
    </row>
    <row r="957" spans="6:11" ht="14.25" customHeight="1" x14ac:dyDescent="0.35">
      <c r="F957" s="26"/>
      <c r="H957" s="27"/>
      <c r="J957" s="27"/>
      <c r="K957" s="27"/>
    </row>
    <row r="958" spans="6:11" ht="14.25" customHeight="1" x14ac:dyDescent="0.35">
      <c r="F958" s="26"/>
      <c r="H958" s="27"/>
      <c r="J958" s="27"/>
      <c r="K958" s="27"/>
    </row>
    <row r="959" spans="6:11" ht="14.25" customHeight="1" x14ac:dyDescent="0.35">
      <c r="F959" s="26"/>
      <c r="H959" s="27"/>
      <c r="J959" s="27"/>
      <c r="K959" s="27"/>
    </row>
    <row r="960" spans="6:11" ht="14.25" customHeight="1" x14ac:dyDescent="0.35">
      <c r="F960" s="26"/>
      <c r="H960" s="27"/>
      <c r="J960" s="27"/>
      <c r="K960" s="27"/>
    </row>
    <row r="961" spans="6:11" ht="14.25" customHeight="1" x14ac:dyDescent="0.35">
      <c r="F961" s="26"/>
      <c r="H961" s="27"/>
      <c r="J961" s="27"/>
      <c r="K961" s="27"/>
    </row>
    <row r="962" spans="6:11" ht="14.25" customHeight="1" x14ac:dyDescent="0.35">
      <c r="F962" s="26"/>
      <c r="H962" s="27"/>
      <c r="J962" s="27"/>
      <c r="K962" s="27"/>
    </row>
    <row r="963" spans="6:11" ht="14.25" customHeight="1" x14ac:dyDescent="0.35">
      <c r="F963" s="26"/>
      <c r="H963" s="27"/>
      <c r="J963" s="27"/>
      <c r="K963" s="27"/>
    </row>
    <row r="964" spans="6:11" ht="14.25" customHeight="1" x14ac:dyDescent="0.35">
      <c r="F964" s="26"/>
      <c r="H964" s="27"/>
      <c r="J964" s="27"/>
      <c r="K964" s="27"/>
    </row>
    <row r="965" spans="6:11" ht="14.25" customHeight="1" x14ac:dyDescent="0.35">
      <c r="F965" s="26"/>
      <c r="H965" s="27"/>
      <c r="J965" s="27"/>
      <c r="K965" s="27"/>
    </row>
    <row r="966" spans="6:11" ht="14.25" customHeight="1" x14ac:dyDescent="0.35">
      <c r="F966" s="26"/>
      <c r="H966" s="27"/>
      <c r="J966" s="27"/>
      <c r="K966" s="27"/>
    </row>
    <row r="967" spans="6:11" ht="14.25" customHeight="1" x14ac:dyDescent="0.35">
      <c r="F967" s="26"/>
      <c r="H967" s="27"/>
      <c r="J967" s="27"/>
      <c r="K967" s="27"/>
    </row>
    <row r="968" spans="6:11" ht="14.25" customHeight="1" x14ac:dyDescent="0.35">
      <c r="F968" s="26"/>
      <c r="H968" s="27"/>
      <c r="J968" s="27"/>
      <c r="K968" s="27"/>
    </row>
    <row r="969" spans="6:11" ht="14.25" customHeight="1" x14ac:dyDescent="0.35">
      <c r="F969" s="26"/>
      <c r="H969" s="27"/>
      <c r="J969" s="27"/>
      <c r="K969" s="27"/>
    </row>
    <row r="970" spans="6:11" ht="14.25" customHeight="1" x14ac:dyDescent="0.35">
      <c r="F970" s="26"/>
      <c r="H970" s="27"/>
      <c r="J970" s="27"/>
      <c r="K970" s="27"/>
    </row>
    <row r="971" spans="6:11" ht="14.25" customHeight="1" x14ac:dyDescent="0.35">
      <c r="F971" s="26"/>
      <c r="H971" s="27"/>
      <c r="J971" s="27"/>
      <c r="K971" s="27"/>
    </row>
    <row r="972" spans="6:11" ht="14.25" customHeight="1" x14ac:dyDescent="0.35">
      <c r="F972" s="26"/>
      <c r="H972" s="27"/>
      <c r="J972" s="27"/>
      <c r="K972" s="27"/>
    </row>
    <row r="973" spans="6:11" ht="14.25" customHeight="1" x14ac:dyDescent="0.35">
      <c r="F973" s="26"/>
      <c r="H973" s="27"/>
      <c r="J973" s="27"/>
      <c r="K973" s="27"/>
    </row>
    <row r="974" spans="6:11" ht="14.25" customHeight="1" x14ac:dyDescent="0.35">
      <c r="F974" s="26"/>
      <c r="H974" s="27"/>
      <c r="J974" s="27"/>
      <c r="K974" s="27"/>
    </row>
    <row r="975" spans="6:11" ht="14.25" customHeight="1" x14ac:dyDescent="0.35">
      <c r="F975" s="26"/>
      <c r="H975" s="27"/>
      <c r="J975" s="27"/>
      <c r="K975" s="27"/>
    </row>
    <row r="976" spans="6:11" ht="14.25" customHeight="1" x14ac:dyDescent="0.35">
      <c r="F976" s="26"/>
      <c r="H976" s="27"/>
      <c r="J976" s="27"/>
      <c r="K976" s="27"/>
    </row>
    <row r="977" spans="6:11" ht="14.25" customHeight="1" x14ac:dyDescent="0.35">
      <c r="F977" s="26"/>
      <c r="H977" s="27"/>
      <c r="J977" s="27"/>
      <c r="K977" s="27"/>
    </row>
    <row r="978" spans="6:11" ht="14.25" customHeight="1" x14ac:dyDescent="0.35">
      <c r="F978" s="26"/>
      <c r="H978" s="27"/>
      <c r="J978" s="27"/>
      <c r="K978" s="27"/>
    </row>
    <row r="979" spans="6:11" ht="14.25" customHeight="1" x14ac:dyDescent="0.35">
      <c r="F979" s="26"/>
      <c r="H979" s="27"/>
      <c r="J979" s="27"/>
      <c r="K979" s="27"/>
    </row>
    <row r="980" spans="6:11" ht="14.25" customHeight="1" x14ac:dyDescent="0.35">
      <c r="F980" s="26"/>
      <c r="H980" s="27"/>
      <c r="J980" s="27"/>
      <c r="K980" s="27"/>
    </row>
    <row r="981" spans="6:11" ht="14.25" customHeight="1" x14ac:dyDescent="0.35">
      <c r="F981" s="26"/>
      <c r="H981" s="27"/>
      <c r="J981" s="27"/>
      <c r="K981" s="27"/>
    </row>
    <row r="982" spans="6:11" ht="14.25" customHeight="1" x14ac:dyDescent="0.35">
      <c r="F982" s="26"/>
      <c r="H982" s="27"/>
      <c r="J982" s="27"/>
      <c r="K982" s="27"/>
    </row>
    <row r="983" spans="6:11" ht="14.25" customHeight="1" x14ac:dyDescent="0.35">
      <c r="F983" s="26"/>
      <c r="H983" s="27"/>
      <c r="J983" s="27"/>
      <c r="K983" s="27"/>
    </row>
    <row r="984" spans="6:11" ht="14.25" customHeight="1" x14ac:dyDescent="0.35">
      <c r="F984" s="26"/>
      <c r="H984" s="27"/>
      <c r="J984" s="27"/>
      <c r="K984" s="27"/>
    </row>
    <row r="985" spans="6:11" ht="14.25" customHeight="1" x14ac:dyDescent="0.35">
      <c r="F985" s="26"/>
      <c r="H985" s="27"/>
      <c r="J985" s="27"/>
      <c r="K985" s="27"/>
    </row>
    <row r="986" spans="6:11" ht="14.25" customHeight="1" x14ac:dyDescent="0.35">
      <c r="F986" s="26"/>
      <c r="H986" s="27"/>
      <c r="J986" s="27"/>
      <c r="K986" s="27"/>
    </row>
    <row r="987" spans="6:11" ht="14.25" customHeight="1" x14ac:dyDescent="0.35">
      <c r="F987" s="26"/>
      <c r="H987" s="27"/>
      <c r="J987" s="27"/>
      <c r="K987" s="27"/>
    </row>
    <row r="988" spans="6:11" ht="14.25" customHeight="1" x14ac:dyDescent="0.35">
      <c r="F988" s="26"/>
      <c r="H988" s="27"/>
      <c r="J988" s="27"/>
      <c r="K988" s="27"/>
    </row>
    <row r="989" spans="6:11" ht="14.25" customHeight="1" x14ac:dyDescent="0.35">
      <c r="F989" s="26"/>
      <c r="H989" s="27"/>
      <c r="J989" s="27"/>
      <c r="K989" s="27"/>
    </row>
    <row r="990" spans="6:11" ht="14.25" customHeight="1" x14ac:dyDescent="0.35">
      <c r="F990" s="26"/>
      <c r="H990" s="27"/>
      <c r="J990" s="27"/>
      <c r="K990" s="27"/>
    </row>
    <row r="991" spans="6:11" ht="14.25" customHeight="1" x14ac:dyDescent="0.35">
      <c r="F991" s="26"/>
      <c r="H991" s="27"/>
      <c r="J991" s="27"/>
      <c r="K991" s="27"/>
    </row>
    <row r="992" spans="6:11" ht="14.25" customHeight="1" x14ac:dyDescent="0.35">
      <c r="F992" s="26"/>
      <c r="H992" s="27"/>
      <c r="J992" s="27"/>
      <c r="K992" s="27"/>
    </row>
    <row r="993" spans="6:11" ht="14.25" customHeight="1" x14ac:dyDescent="0.35">
      <c r="F993" s="26"/>
      <c r="H993" s="27"/>
      <c r="J993" s="27"/>
      <c r="K993" s="27"/>
    </row>
    <row r="994" spans="6:11" ht="14.25" customHeight="1" x14ac:dyDescent="0.35">
      <c r="F994" s="26"/>
      <c r="H994" s="27"/>
      <c r="J994" s="27"/>
      <c r="K994" s="27"/>
    </row>
    <row r="995" spans="6:11" ht="14.25" customHeight="1" x14ac:dyDescent="0.35">
      <c r="F995" s="26"/>
      <c r="H995" s="27"/>
      <c r="J995" s="27"/>
      <c r="K995" s="27"/>
    </row>
    <row r="996" spans="6:11" ht="14.25" customHeight="1" x14ac:dyDescent="0.35">
      <c r="F996" s="26"/>
      <c r="H996" s="27"/>
      <c r="J996" s="27"/>
      <c r="K996" s="27"/>
    </row>
    <row r="997" spans="6:11" ht="14.25" customHeight="1" x14ac:dyDescent="0.35">
      <c r="F997" s="26"/>
      <c r="H997" s="27"/>
      <c r="J997" s="27"/>
      <c r="K997" s="27"/>
    </row>
    <row r="998" spans="6:11" ht="14.25" customHeight="1" x14ac:dyDescent="0.35">
      <c r="F998" s="26"/>
      <c r="H998" s="27"/>
      <c r="J998" s="27"/>
      <c r="K998" s="27"/>
    </row>
    <row r="999" spans="6:11" ht="14.25" customHeight="1" x14ac:dyDescent="0.35">
      <c r="F999" s="26"/>
      <c r="H999" s="27"/>
      <c r="J999" s="27"/>
      <c r="K999" s="27"/>
    </row>
    <row r="1000" spans="6:11" ht="14.25" customHeight="1" x14ac:dyDescent="0.35">
      <c r="F1000" s="26"/>
      <c r="H1000" s="27"/>
      <c r="J1000" s="27"/>
      <c r="K1000" s="27"/>
    </row>
    <row r="1001" spans="6:11" ht="15" customHeight="1" x14ac:dyDescent="0.35">
      <c r="F1001" s="26"/>
      <c r="H1001" s="27"/>
      <c r="J1001" s="27"/>
    </row>
  </sheetData>
  <dataValidations count="1">
    <dataValidation type="custom" allowBlank="1" showDropDown="1" sqref="H2:K23 I24:I31 J24:J30" xr:uid="{00000000-0002-0000-0000-000000000000}">
      <formula1>AND(ISNUMBER(H2),(NOT(OR(NOT(ISERROR(DATEVALUE(H2))), AND(ISNUMBER(H2), LEFT(CELL("format", H2))="D")))))</formula1>
    </dataValidation>
  </dataValidations>
  <hyperlinks>
    <hyperlink ref="F4" r:id="rId1" xr:uid="{00000000-0004-0000-0000-000000000000}"/>
    <hyperlink ref="F14" r:id="rId2" xr:uid="{00000000-0004-0000-0000-000005000000}"/>
    <hyperlink ref="G14" r:id="rId3" xr:uid="{00000000-0004-0000-0000-000006000000}"/>
    <hyperlink ref="F22" r:id="rId4" xr:uid="{00000000-0004-0000-0000-000008000000}"/>
    <hyperlink ref="G22" r:id="rId5" xr:uid="{00000000-0004-0000-0000-000009000000}"/>
  </hyperlinks>
  <pageMargins left="0.7" right="0.7" top="0.75" bottom="0.75" header="0" footer="0"/>
  <pageSetup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0CA4-E8F2-4D74-AB80-12D5566ECA00}">
  <dimension ref="A1:P985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12.6328125" defaultRowHeight="15" customHeight="1" x14ac:dyDescent="0.35"/>
  <cols>
    <col min="1" max="1" width="24.08984375" bestFit="1" customWidth="1"/>
    <col min="2" max="2" width="11.453125" bestFit="1" customWidth="1"/>
    <col min="3" max="3" width="7.7265625" bestFit="1" customWidth="1"/>
    <col min="4" max="4" width="8.81640625" style="56" bestFit="1" customWidth="1"/>
    <col min="5" max="5" width="8.6328125" style="56" customWidth="1"/>
  </cols>
  <sheetData>
    <row r="1" spans="1:16" ht="14.25" customHeight="1" x14ac:dyDescent="0.35">
      <c r="A1" s="81" t="s">
        <v>0</v>
      </c>
      <c r="B1" t="s">
        <v>100</v>
      </c>
      <c r="C1" t="s">
        <v>7</v>
      </c>
      <c r="D1" s="56" t="s">
        <v>8</v>
      </c>
    </row>
    <row r="2" spans="1:16" ht="14.25" customHeight="1" x14ac:dyDescent="0.35">
      <c r="A2" s="85" t="s">
        <v>16</v>
      </c>
      <c r="B2" s="86">
        <v>0.18</v>
      </c>
      <c r="C2" s="87">
        <v>1</v>
      </c>
      <c r="D2" s="88">
        <f>B2*C2</f>
        <v>0.18</v>
      </c>
    </row>
    <row r="3" spans="1:16" ht="14.25" customHeight="1" x14ac:dyDescent="0.35">
      <c r="A3" s="89" t="s">
        <v>21</v>
      </c>
      <c r="B3" s="86">
        <v>5.26</v>
      </c>
      <c r="C3" s="87">
        <v>1</v>
      </c>
      <c r="D3" s="88">
        <f t="shared" ref="D3:D15" si="0">B3*C3</f>
        <v>5.26</v>
      </c>
    </row>
    <row r="4" spans="1:16" ht="14.25" customHeight="1" x14ac:dyDescent="0.35">
      <c r="A4" s="85" t="s">
        <v>24</v>
      </c>
      <c r="B4" s="86">
        <v>4.95</v>
      </c>
      <c r="C4" s="87">
        <v>1</v>
      </c>
      <c r="D4" s="88">
        <f t="shared" si="0"/>
        <v>4.95</v>
      </c>
    </row>
    <row r="5" spans="1:16" ht="14.25" customHeight="1" x14ac:dyDescent="0.35">
      <c r="A5" s="89" t="s">
        <v>97</v>
      </c>
      <c r="B5" s="86">
        <v>1.26</v>
      </c>
      <c r="C5" s="87">
        <v>1</v>
      </c>
      <c r="D5" s="88">
        <f t="shared" si="0"/>
        <v>1.26</v>
      </c>
    </row>
    <row r="6" spans="1:16" ht="14.25" customHeight="1" x14ac:dyDescent="0.35">
      <c r="A6" s="85" t="s">
        <v>98</v>
      </c>
      <c r="B6" s="86">
        <v>0.4</v>
      </c>
      <c r="C6" s="87">
        <v>1</v>
      </c>
      <c r="D6" s="88">
        <f t="shared" si="0"/>
        <v>0.4</v>
      </c>
    </row>
    <row r="7" spans="1:16" ht="14.25" customHeight="1" x14ac:dyDescent="0.35">
      <c r="A7" s="89" t="s">
        <v>99</v>
      </c>
      <c r="B7" s="86">
        <v>18.170000000000002</v>
      </c>
      <c r="C7" s="87">
        <v>1</v>
      </c>
      <c r="D7" s="88">
        <f t="shared" si="0"/>
        <v>18.170000000000002</v>
      </c>
    </row>
    <row r="8" spans="1:16" ht="14.25" customHeight="1" x14ac:dyDescent="0.35">
      <c r="A8" s="85" t="s">
        <v>38</v>
      </c>
      <c r="B8" s="86">
        <v>10.69</v>
      </c>
      <c r="C8" s="87">
        <v>2</v>
      </c>
      <c r="D8" s="88">
        <f t="shared" si="0"/>
        <v>21.38</v>
      </c>
    </row>
    <row r="9" spans="1:16" s="56" customFormat="1" ht="14.25" customHeight="1" x14ac:dyDescent="0.35">
      <c r="A9" s="89" t="s">
        <v>55</v>
      </c>
      <c r="B9" s="86">
        <v>8.27</v>
      </c>
      <c r="C9" s="87">
        <v>1</v>
      </c>
      <c r="D9" s="88">
        <f t="shared" si="0"/>
        <v>8.27</v>
      </c>
      <c r="F9"/>
      <c r="G9"/>
      <c r="H9"/>
      <c r="I9"/>
      <c r="J9"/>
      <c r="K9"/>
      <c r="L9"/>
      <c r="M9"/>
      <c r="N9"/>
      <c r="O9"/>
      <c r="P9"/>
    </row>
    <row r="10" spans="1:16" s="56" customFormat="1" ht="14.25" customHeight="1" x14ac:dyDescent="0.35">
      <c r="A10" s="85" t="s">
        <v>59</v>
      </c>
      <c r="B10" s="86">
        <v>2.84</v>
      </c>
      <c r="C10" s="87">
        <v>8</v>
      </c>
      <c r="D10" s="88">
        <f t="shared" si="0"/>
        <v>22.72</v>
      </c>
      <c r="F10"/>
      <c r="G10"/>
      <c r="H10"/>
      <c r="I10"/>
      <c r="J10"/>
      <c r="K10"/>
      <c r="L10"/>
      <c r="M10"/>
      <c r="N10"/>
      <c r="O10"/>
      <c r="P10"/>
    </row>
    <row r="11" spans="1:16" s="56" customFormat="1" ht="14.25" customHeight="1" x14ac:dyDescent="0.35">
      <c r="A11" s="90" t="s">
        <v>81</v>
      </c>
      <c r="B11" s="86">
        <v>0.17399999999999999</v>
      </c>
      <c r="C11" s="87">
        <v>2</v>
      </c>
      <c r="D11" s="88">
        <f t="shared" si="0"/>
        <v>0.34799999999999998</v>
      </c>
      <c r="F11"/>
      <c r="G11"/>
      <c r="H11"/>
      <c r="I11"/>
      <c r="J11"/>
      <c r="K11"/>
      <c r="L11"/>
      <c r="M11"/>
      <c r="N11"/>
      <c r="O11"/>
      <c r="P11"/>
    </row>
    <row r="12" spans="1:16" s="56" customFormat="1" ht="14.25" customHeight="1" x14ac:dyDescent="0.35">
      <c r="A12" s="90" t="s">
        <v>82</v>
      </c>
      <c r="B12" s="86">
        <v>3.1399999999999997E-2</v>
      </c>
      <c r="C12" s="87">
        <v>20</v>
      </c>
      <c r="D12" s="88">
        <f t="shared" si="0"/>
        <v>0.62799999999999989</v>
      </c>
      <c r="F12"/>
      <c r="G12"/>
      <c r="H12"/>
      <c r="I12"/>
      <c r="J12"/>
      <c r="K12"/>
      <c r="L12"/>
      <c r="M12"/>
      <c r="N12"/>
      <c r="O12"/>
      <c r="P12"/>
    </row>
    <row r="13" spans="1:16" s="56" customFormat="1" ht="14.25" customHeight="1" x14ac:dyDescent="0.35">
      <c r="A13" s="90" t="s">
        <v>84</v>
      </c>
      <c r="B13" s="86">
        <v>1.37E-2</v>
      </c>
      <c r="C13" s="87">
        <v>20</v>
      </c>
      <c r="D13" s="88">
        <f t="shared" si="0"/>
        <v>0.27400000000000002</v>
      </c>
      <c r="F13"/>
      <c r="G13"/>
      <c r="H13"/>
      <c r="I13"/>
      <c r="J13"/>
      <c r="K13"/>
      <c r="L13"/>
      <c r="M13"/>
      <c r="N13"/>
      <c r="O13"/>
      <c r="P13"/>
    </row>
    <row r="14" spans="1:16" s="56" customFormat="1" ht="14.25" customHeight="1" x14ac:dyDescent="0.35">
      <c r="A14" s="90" t="s">
        <v>86</v>
      </c>
      <c r="B14" s="86">
        <v>1.6570000000000001E-2</v>
      </c>
      <c r="C14" s="87">
        <v>8</v>
      </c>
      <c r="D14" s="88">
        <f t="shared" si="0"/>
        <v>0.13256000000000001</v>
      </c>
      <c r="F14"/>
      <c r="G14"/>
      <c r="H14"/>
      <c r="I14"/>
      <c r="J14"/>
      <c r="K14"/>
      <c r="L14"/>
      <c r="M14"/>
      <c r="N14"/>
      <c r="O14"/>
      <c r="P14"/>
    </row>
    <row r="15" spans="1:16" s="56" customFormat="1" ht="14.25" customHeight="1" thickBot="1" x14ac:dyDescent="0.4">
      <c r="A15" s="91" t="s">
        <v>93</v>
      </c>
      <c r="B15" s="92">
        <v>0.44500000000000001</v>
      </c>
      <c r="C15" s="93">
        <v>3</v>
      </c>
      <c r="D15" s="94">
        <f t="shared" si="0"/>
        <v>1.335</v>
      </c>
      <c r="F15"/>
      <c r="G15"/>
      <c r="H15"/>
      <c r="I15"/>
      <c r="J15"/>
      <c r="K15"/>
      <c r="L15"/>
      <c r="M15"/>
      <c r="N15"/>
      <c r="O15"/>
      <c r="P15"/>
    </row>
    <row r="16" spans="1:16" s="56" customFormat="1" ht="15" customHeight="1" x14ac:dyDescent="0.35">
      <c r="A16" s="83" t="s">
        <v>79</v>
      </c>
      <c r="B16"/>
      <c r="D16" s="84">
        <f>SUM(D2:D15)</f>
        <v>85.307559999999995</v>
      </c>
      <c r="F16"/>
      <c r="G16"/>
      <c r="H16"/>
      <c r="I16"/>
      <c r="J16"/>
      <c r="K16"/>
      <c r="L16"/>
      <c r="M16"/>
      <c r="N16"/>
      <c r="O16"/>
      <c r="P16"/>
    </row>
    <row r="17" spans="1:16" s="56" customFormat="1" ht="14.25" customHeight="1" x14ac:dyDescent="0.35">
      <c r="A17" s="82"/>
      <c r="B17"/>
      <c r="F17"/>
      <c r="G17"/>
      <c r="H17"/>
      <c r="I17"/>
      <c r="J17"/>
      <c r="K17"/>
      <c r="L17"/>
      <c r="M17"/>
      <c r="N17"/>
      <c r="O17"/>
      <c r="P17"/>
    </row>
    <row r="18" spans="1:16" s="56" customFormat="1" ht="14.25" customHeight="1" x14ac:dyDescent="0.35">
      <c r="A18" s="27"/>
      <c r="B18"/>
      <c r="F18"/>
      <c r="G18"/>
      <c r="H18"/>
      <c r="I18"/>
      <c r="J18"/>
      <c r="K18"/>
      <c r="L18"/>
      <c r="M18"/>
      <c r="N18"/>
      <c r="O18"/>
      <c r="P18"/>
    </row>
    <row r="19" spans="1:16" s="56" customFormat="1" ht="14.25" customHeight="1" x14ac:dyDescent="0.35">
      <c r="A19" s="27"/>
      <c r="B19"/>
      <c r="F19"/>
      <c r="G19"/>
      <c r="H19"/>
      <c r="I19"/>
      <c r="J19"/>
      <c r="K19"/>
      <c r="L19"/>
      <c r="M19"/>
      <c r="N19"/>
      <c r="O19"/>
      <c r="P19"/>
    </row>
    <row r="20" spans="1:16" s="56" customFormat="1" ht="14.25" customHeight="1" x14ac:dyDescent="0.35">
      <c r="A20" s="27"/>
      <c r="B20"/>
      <c r="F20"/>
      <c r="G20"/>
      <c r="H20"/>
      <c r="I20"/>
      <c r="J20"/>
      <c r="K20"/>
      <c r="L20"/>
      <c r="M20"/>
      <c r="N20"/>
      <c r="O20"/>
      <c r="P20"/>
    </row>
    <row r="21" spans="1:16" s="56" customFormat="1" ht="14.25" customHeight="1" x14ac:dyDescent="0.35">
      <c r="A21" s="27"/>
      <c r="B21"/>
      <c r="C21"/>
      <c r="F21"/>
      <c r="G21"/>
      <c r="H21"/>
      <c r="I21"/>
      <c r="J21"/>
      <c r="K21"/>
      <c r="L21"/>
      <c r="M21"/>
      <c r="N21"/>
      <c r="O21"/>
      <c r="P21"/>
    </row>
    <row r="22" spans="1:16" s="56" customFormat="1" ht="14.25" customHeight="1" x14ac:dyDescent="0.35">
      <c r="A22" s="27"/>
      <c r="B22"/>
      <c r="C22"/>
      <c r="F22"/>
      <c r="G22"/>
      <c r="H22"/>
      <c r="I22"/>
      <c r="J22"/>
      <c r="K22"/>
      <c r="L22"/>
      <c r="M22"/>
      <c r="N22"/>
      <c r="O22"/>
      <c r="P22"/>
    </row>
    <row r="23" spans="1:16" s="56" customFormat="1" ht="14.25" customHeight="1" x14ac:dyDescent="0.35">
      <c r="A23" s="27"/>
      <c r="B23"/>
      <c r="C23"/>
      <c r="F23"/>
      <c r="G23"/>
      <c r="H23"/>
      <c r="I23"/>
      <c r="J23"/>
      <c r="K23"/>
      <c r="L23"/>
      <c r="M23"/>
      <c r="N23"/>
      <c r="O23"/>
      <c r="P23"/>
    </row>
    <row r="24" spans="1:16" s="56" customFormat="1" ht="14.25" customHeight="1" x14ac:dyDescent="0.35">
      <c r="A24" s="27"/>
      <c r="B24"/>
      <c r="C24"/>
      <c r="F24"/>
      <c r="G24"/>
      <c r="H24"/>
      <c r="I24"/>
      <c r="J24"/>
      <c r="K24"/>
      <c r="L24"/>
      <c r="M24"/>
      <c r="N24"/>
      <c r="O24"/>
      <c r="P24"/>
    </row>
    <row r="25" spans="1:16" s="56" customFormat="1" ht="14.25" customHeight="1" x14ac:dyDescent="0.35">
      <c r="A25" s="27"/>
      <c r="B25"/>
      <c r="C25"/>
      <c r="F25"/>
      <c r="G25"/>
      <c r="H25"/>
      <c r="I25"/>
      <c r="J25"/>
      <c r="K25"/>
      <c r="L25"/>
      <c r="M25"/>
      <c r="N25"/>
      <c r="O25"/>
      <c r="P25"/>
    </row>
    <row r="26" spans="1:16" s="56" customFormat="1" ht="14.25" customHeight="1" x14ac:dyDescent="0.35">
      <c r="A26" s="27"/>
      <c r="B26"/>
      <c r="C26"/>
      <c r="F26"/>
      <c r="G26"/>
      <c r="H26"/>
      <c r="I26"/>
      <c r="J26"/>
      <c r="K26"/>
      <c r="L26"/>
      <c r="M26"/>
      <c r="N26"/>
      <c r="O26"/>
      <c r="P26"/>
    </row>
    <row r="27" spans="1:16" s="56" customFormat="1" ht="14.25" customHeight="1" x14ac:dyDescent="0.35">
      <c r="A27" s="27"/>
      <c r="B27"/>
      <c r="C27"/>
      <c r="F27"/>
      <c r="G27"/>
      <c r="H27"/>
      <c r="I27"/>
      <c r="J27"/>
      <c r="K27"/>
      <c r="L27"/>
      <c r="M27"/>
      <c r="N27"/>
      <c r="O27"/>
      <c r="P27"/>
    </row>
    <row r="28" spans="1:16" s="56" customFormat="1" ht="14.25" customHeight="1" x14ac:dyDescent="0.35">
      <c r="A28" s="27"/>
      <c r="B28"/>
      <c r="C28"/>
      <c r="F28"/>
      <c r="G28"/>
      <c r="H28"/>
      <c r="I28"/>
      <c r="J28"/>
      <c r="K28"/>
      <c r="L28"/>
      <c r="M28"/>
      <c r="N28"/>
      <c r="O28"/>
      <c r="P28"/>
    </row>
    <row r="29" spans="1:16" s="56" customFormat="1" ht="14.25" customHeight="1" x14ac:dyDescent="0.35">
      <c r="A29" s="27"/>
      <c r="B29"/>
      <c r="C29"/>
      <c r="F29"/>
      <c r="G29"/>
      <c r="H29"/>
      <c r="I29"/>
      <c r="J29"/>
      <c r="K29"/>
      <c r="L29"/>
      <c r="M29"/>
      <c r="N29"/>
      <c r="O29"/>
      <c r="P29"/>
    </row>
    <row r="30" spans="1:16" s="56" customFormat="1" ht="14.25" customHeight="1" x14ac:dyDescent="0.35">
      <c r="A30" s="27"/>
      <c r="B30"/>
      <c r="C30"/>
      <c r="F30"/>
      <c r="G30"/>
      <c r="H30"/>
      <c r="I30"/>
      <c r="J30"/>
      <c r="K30"/>
      <c r="L30"/>
      <c r="M30"/>
      <c r="N30"/>
      <c r="O30"/>
      <c r="P30"/>
    </row>
    <row r="31" spans="1:16" s="56" customFormat="1" ht="14.25" customHeight="1" x14ac:dyDescent="0.35">
      <c r="A31" s="27"/>
      <c r="B31"/>
      <c r="C31"/>
      <c r="F31"/>
      <c r="G31"/>
      <c r="H31"/>
      <c r="I31"/>
      <c r="J31"/>
      <c r="K31"/>
      <c r="L31"/>
      <c r="M31"/>
      <c r="N31"/>
      <c r="O31"/>
      <c r="P31"/>
    </row>
    <row r="32" spans="1:16" s="56" customFormat="1" ht="14.25" customHeight="1" x14ac:dyDescent="0.35">
      <c r="A32" s="27"/>
      <c r="B32"/>
      <c r="C32"/>
      <c r="F32"/>
      <c r="G32"/>
      <c r="H32"/>
      <c r="I32"/>
      <c r="J32"/>
      <c r="K32"/>
      <c r="L32"/>
      <c r="M32"/>
      <c r="N32"/>
      <c r="O32"/>
      <c r="P32"/>
    </row>
    <row r="33" spans="1:16" s="56" customFormat="1" ht="14.25" customHeight="1" x14ac:dyDescent="0.35">
      <c r="A33" s="27"/>
      <c r="B33"/>
      <c r="C33"/>
      <c r="F33"/>
      <c r="G33"/>
      <c r="H33"/>
      <c r="I33"/>
      <c r="J33"/>
      <c r="K33"/>
      <c r="L33"/>
      <c r="M33"/>
      <c r="N33"/>
      <c r="O33"/>
      <c r="P33"/>
    </row>
    <row r="34" spans="1:16" ht="14.25" customHeight="1" x14ac:dyDescent="0.35">
      <c r="A34" s="27"/>
    </row>
    <row r="35" spans="1:16" ht="14.25" customHeight="1" x14ac:dyDescent="0.35">
      <c r="A35" s="27"/>
    </row>
    <row r="36" spans="1:16" ht="14.25" customHeight="1" x14ac:dyDescent="0.35">
      <c r="A36" s="27"/>
    </row>
    <row r="37" spans="1:16" ht="14.25" customHeight="1" x14ac:dyDescent="0.35">
      <c r="A37" s="27"/>
    </row>
    <row r="38" spans="1:16" ht="14.25" customHeight="1" x14ac:dyDescent="0.35">
      <c r="A38" s="27"/>
    </row>
    <row r="39" spans="1:16" ht="14.25" customHeight="1" x14ac:dyDescent="0.35">
      <c r="A39" s="27"/>
    </row>
    <row r="40" spans="1:16" ht="14.25" customHeight="1" x14ac:dyDescent="0.35">
      <c r="A40" s="27"/>
    </row>
    <row r="41" spans="1:16" ht="14.25" customHeight="1" x14ac:dyDescent="0.35">
      <c r="A41" s="27"/>
    </row>
    <row r="42" spans="1:16" ht="14.25" customHeight="1" x14ac:dyDescent="0.35">
      <c r="A42" s="27"/>
    </row>
    <row r="43" spans="1:16" ht="14.25" customHeight="1" x14ac:dyDescent="0.35">
      <c r="A43" s="27"/>
    </row>
    <row r="44" spans="1:16" ht="14.25" customHeight="1" x14ac:dyDescent="0.35">
      <c r="A44" s="27"/>
    </row>
    <row r="45" spans="1:16" ht="14.25" customHeight="1" x14ac:dyDescent="0.35">
      <c r="A45" s="27"/>
    </row>
    <row r="46" spans="1:16" ht="14.25" customHeight="1" x14ac:dyDescent="0.35">
      <c r="A46" s="27"/>
    </row>
    <row r="47" spans="1:16" ht="14.25" customHeight="1" x14ac:dyDescent="0.35">
      <c r="A47" s="27"/>
    </row>
    <row r="48" spans="1:16" ht="14.25" customHeight="1" x14ac:dyDescent="0.35">
      <c r="A48" s="27"/>
    </row>
    <row r="49" spans="1:1" ht="14.25" customHeight="1" x14ac:dyDescent="0.35">
      <c r="A49" s="27"/>
    </row>
    <row r="50" spans="1:1" ht="14.25" customHeight="1" x14ac:dyDescent="0.35">
      <c r="A50" s="27"/>
    </row>
    <row r="51" spans="1:1" ht="14.25" customHeight="1" x14ac:dyDescent="0.35">
      <c r="A51" s="27"/>
    </row>
    <row r="52" spans="1:1" ht="14.25" customHeight="1" x14ac:dyDescent="0.35">
      <c r="A52" s="27"/>
    </row>
    <row r="53" spans="1:1" ht="14.25" customHeight="1" x14ac:dyDescent="0.35">
      <c r="A53" s="27"/>
    </row>
    <row r="54" spans="1:1" ht="14.25" customHeight="1" x14ac:dyDescent="0.35">
      <c r="A54" s="27"/>
    </row>
    <row r="55" spans="1:1" ht="14.25" customHeight="1" x14ac:dyDescent="0.35">
      <c r="A55" s="27"/>
    </row>
    <row r="56" spans="1:1" ht="14.25" customHeight="1" x14ac:dyDescent="0.35">
      <c r="A56" s="27"/>
    </row>
    <row r="57" spans="1:1" ht="14.25" customHeight="1" x14ac:dyDescent="0.35">
      <c r="A57" s="27"/>
    </row>
    <row r="58" spans="1:1" ht="14.25" customHeight="1" x14ac:dyDescent="0.35">
      <c r="A58" s="27"/>
    </row>
    <row r="59" spans="1:1" ht="14.25" customHeight="1" x14ac:dyDescent="0.35">
      <c r="A59" s="27"/>
    </row>
    <row r="60" spans="1:1" ht="14.25" customHeight="1" x14ac:dyDescent="0.35">
      <c r="A60" s="27"/>
    </row>
    <row r="61" spans="1:1" ht="14.25" customHeight="1" x14ac:dyDescent="0.35">
      <c r="A61" s="27"/>
    </row>
    <row r="62" spans="1:1" ht="14.25" customHeight="1" x14ac:dyDescent="0.35">
      <c r="A62" s="27"/>
    </row>
    <row r="63" spans="1:1" ht="14.25" customHeight="1" x14ac:dyDescent="0.35">
      <c r="A63" s="27"/>
    </row>
    <row r="64" spans="1:1" ht="14.25" customHeight="1" x14ac:dyDescent="0.35">
      <c r="A64" s="27"/>
    </row>
    <row r="65" spans="1:1" ht="14.25" customHeight="1" x14ac:dyDescent="0.35">
      <c r="A65" s="27"/>
    </row>
    <row r="66" spans="1:1" ht="14.25" customHeight="1" x14ac:dyDescent="0.35">
      <c r="A66" s="27"/>
    </row>
    <row r="67" spans="1:1" ht="14.25" customHeight="1" x14ac:dyDescent="0.35">
      <c r="A67" s="27"/>
    </row>
    <row r="68" spans="1:1" ht="14.25" customHeight="1" x14ac:dyDescent="0.35">
      <c r="A68" s="27"/>
    </row>
    <row r="69" spans="1:1" ht="14.25" customHeight="1" x14ac:dyDescent="0.35">
      <c r="A69" s="27"/>
    </row>
    <row r="70" spans="1:1" ht="14.25" customHeight="1" x14ac:dyDescent="0.35">
      <c r="A70" s="27"/>
    </row>
    <row r="71" spans="1:1" ht="14.25" customHeight="1" x14ac:dyDescent="0.35">
      <c r="A71" s="27"/>
    </row>
    <row r="72" spans="1:1" ht="14.25" customHeight="1" x14ac:dyDescent="0.35">
      <c r="A72" s="27"/>
    </row>
    <row r="73" spans="1:1" ht="14.25" customHeight="1" x14ac:dyDescent="0.35">
      <c r="A73" s="27"/>
    </row>
    <row r="74" spans="1:1" ht="14.25" customHeight="1" x14ac:dyDescent="0.35">
      <c r="A74" s="27"/>
    </row>
    <row r="75" spans="1:1" ht="14.25" customHeight="1" x14ac:dyDescent="0.35">
      <c r="A75" s="27"/>
    </row>
    <row r="76" spans="1:1" ht="14.25" customHeight="1" x14ac:dyDescent="0.35">
      <c r="A76" s="27"/>
    </row>
    <row r="77" spans="1:1" ht="14.25" customHeight="1" x14ac:dyDescent="0.35">
      <c r="A77" s="27"/>
    </row>
    <row r="78" spans="1:1" ht="14.25" customHeight="1" x14ac:dyDescent="0.35">
      <c r="A78" s="27"/>
    </row>
    <row r="79" spans="1:1" ht="14.25" customHeight="1" x14ac:dyDescent="0.35">
      <c r="A79" s="27"/>
    </row>
    <row r="80" spans="1:1" ht="14.25" customHeight="1" x14ac:dyDescent="0.35">
      <c r="A80" s="27"/>
    </row>
    <row r="81" spans="1:1" ht="14.25" customHeight="1" x14ac:dyDescent="0.35">
      <c r="A81" s="27"/>
    </row>
    <row r="82" spans="1:1" ht="14.25" customHeight="1" x14ac:dyDescent="0.35">
      <c r="A82" s="27"/>
    </row>
    <row r="83" spans="1:1" ht="14.25" customHeight="1" x14ac:dyDescent="0.35">
      <c r="A83" s="27"/>
    </row>
    <row r="84" spans="1:1" ht="14.25" customHeight="1" x14ac:dyDescent="0.35">
      <c r="A84" s="27"/>
    </row>
    <row r="85" spans="1:1" ht="14.25" customHeight="1" x14ac:dyDescent="0.35">
      <c r="A85" s="27"/>
    </row>
    <row r="86" spans="1:1" ht="14.25" customHeight="1" x14ac:dyDescent="0.35">
      <c r="A86" s="27"/>
    </row>
    <row r="87" spans="1:1" ht="14.25" customHeight="1" x14ac:dyDescent="0.35">
      <c r="A87" s="27"/>
    </row>
    <row r="88" spans="1:1" ht="14.25" customHeight="1" x14ac:dyDescent="0.35">
      <c r="A88" s="27"/>
    </row>
    <row r="89" spans="1:1" ht="14.25" customHeight="1" x14ac:dyDescent="0.35">
      <c r="A89" s="27"/>
    </row>
    <row r="90" spans="1:1" ht="14.25" customHeight="1" x14ac:dyDescent="0.35">
      <c r="A90" s="27"/>
    </row>
    <row r="91" spans="1:1" ht="14.25" customHeight="1" x14ac:dyDescent="0.35">
      <c r="A91" s="27"/>
    </row>
    <row r="92" spans="1:1" ht="14.25" customHeight="1" x14ac:dyDescent="0.35">
      <c r="A92" s="27"/>
    </row>
    <row r="93" spans="1:1" ht="14.25" customHeight="1" x14ac:dyDescent="0.35">
      <c r="A93" s="27"/>
    </row>
    <row r="94" spans="1:1" ht="14.25" customHeight="1" x14ac:dyDescent="0.35">
      <c r="A94" s="27"/>
    </row>
    <row r="95" spans="1:1" ht="14.25" customHeight="1" x14ac:dyDescent="0.35">
      <c r="A95" s="27"/>
    </row>
    <row r="96" spans="1:1" ht="14.25" customHeight="1" x14ac:dyDescent="0.35">
      <c r="A96" s="27"/>
    </row>
    <row r="97" spans="1:1" ht="14.25" customHeight="1" x14ac:dyDescent="0.35">
      <c r="A97" s="27"/>
    </row>
    <row r="98" spans="1:1" ht="14.25" customHeight="1" x14ac:dyDescent="0.35">
      <c r="A98" s="27"/>
    </row>
    <row r="99" spans="1:1" ht="14.25" customHeight="1" x14ac:dyDescent="0.35">
      <c r="A99" s="27"/>
    </row>
    <row r="100" spans="1:1" ht="14.25" customHeight="1" x14ac:dyDescent="0.35">
      <c r="A100" s="27"/>
    </row>
    <row r="101" spans="1:1" ht="14.25" customHeight="1" x14ac:dyDescent="0.35">
      <c r="A101" s="27"/>
    </row>
    <row r="102" spans="1:1" ht="14.25" customHeight="1" x14ac:dyDescent="0.35">
      <c r="A102" s="27"/>
    </row>
    <row r="103" spans="1:1" ht="14.25" customHeight="1" x14ac:dyDescent="0.35">
      <c r="A103" s="27"/>
    </row>
    <row r="104" spans="1:1" ht="14.25" customHeight="1" x14ac:dyDescent="0.35">
      <c r="A104" s="27"/>
    </row>
    <row r="105" spans="1:1" ht="14.25" customHeight="1" x14ac:dyDescent="0.35">
      <c r="A105" s="27"/>
    </row>
    <row r="106" spans="1:1" ht="14.25" customHeight="1" x14ac:dyDescent="0.35">
      <c r="A106" s="27"/>
    </row>
    <row r="107" spans="1:1" ht="14.25" customHeight="1" x14ac:dyDescent="0.35">
      <c r="A107" s="27"/>
    </row>
    <row r="108" spans="1:1" ht="14.25" customHeight="1" x14ac:dyDescent="0.35">
      <c r="A108" s="27"/>
    </row>
    <row r="109" spans="1:1" ht="14.25" customHeight="1" x14ac:dyDescent="0.35">
      <c r="A109" s="27"/>
    </row>
    <row r="110" spans="1:1" ht="14.25" customHeight="1" x14ac:dyDescent="0.35">
      <c r="A110" s="27"/>
    </row>
    <row r="111" spans="1:1" ht="14.25" customHeight="1" x14ac:dyDescent="0.35">
      <c r="A111" s="27"/>
    </row>
    <row r="112" spans="1:1" ht="14.25" customHeight="1" x14ac:dyDescent="0.35">
      <c r="A112" s="27"/>
    </row>
    <row r="113" spans="1:1" ht="14.25" customHeight="1" x14ac:dyDescent="0.35">
      <c r="A113" s="27"/>
    </row>
    <row r="114" spans="1:1" ht="14.25" customHeight="1" x14ac:dyDescent="0.35">
      <c r="A114" s="27"/>
    </row>
    <row r="115" spans="1:1" ht="14.25" customHeight="1" x14ac:dyDescent="0.35">
      <c r="A115" s="27"/>
    </row>
    <row r="116" spans="1:1" ht="14.25" customHeight="1" x14ac:dyDescent="0.35">
      <c r="A116" s="27"/>
    </row>
    <row r="117" spans="1:1" ht="14.25" customHeight="1" x14ac:dyDescent="0.35">
      <c r="A117" s="27"/>
    </row>
    <row r="118" spans="1:1" ht="14.25" customHeight="1" x14ac:dyDescent="0.35">
      <c r="A118" s="27"/>
    </row>
    <row r="119" spans="1:1" ht="14.25" customHeight="1" x14ac:dyDescent="0.35">
      <c r="A119" s="27"/>
    </row>
    <row r="120" spans="1:1" ht="14.25" customHeight="1" x14ac:dyDescent="0.35">
      <c r="A120" s="27"/>
    </row>
    <row r="121" spans="1:1" ht="14.25" customHeight="1" x14ac:dyDescent="0.35">
      <c r="A121" s="27"/>
    </row>
    <row r="122" spans="1:1" ht="14.25" customHeight="1" x14ac:dyDescent="0.35">
      <c r="A122" s="27"/>
    </row>
    <row r="123" spans="1:1" ht="14.25" customHeight="1" x14ac:dyDescent="0.35">
      <c r="A123" s="27"/>
    </row>
    <row r="124" spans="1:1" ht="14.25" customHeight="1" x14ac:dyDescent="0.35">
      <c r="A124" s="27"/>
    </row>
    <row r="125" spans="1:1" ht="14.25" customHeight="1" x14ac:dyDescent="0.35">
      <c r="A125" s="27"/>
    </row>
    <row r="126" spans="1:1" ht="14.25" customHeight="1" x14ac:dyDescent="0.35">
      <c r="A126" s="27"/>
    </row>
    <row r="127" spans="1:1" ht="14.25" customHeight="1" x14ac:dyDescent="0.35">
      <c r="A127" s="27"/>
    </row>
    <row r="128" spans="1:1" ht="14.25" customHeight="1" x14ac:dyDescent="0.35">
      <c r="A128" s="27"/>
    </row>
    <row r="129" spans="1:1" ht="14.25" customHeight="1" x14ac:dyDescent="0.35">
      <c r="A129" s="27"/>
    </row>
    <row r="130" spans="1:1" ht="14.25" customHeight="1" x14ac:dyDescent="0.35">
      <c r="A130" s="27"/>
    </row>
    <row r="131" spans="1:1" ht="14.25" customHeight="1" x14ac:dyDescent="0.35">
      <c r="A131" s="27"/>
    </row>
    <row r="132" spans="1:1" ht="14.25" customHeight="1" x14ac:dyDescent="0.35">
      <c r="A132" s="27"/>
    </row>
    <row r="133" spans="1:1" ht="14.25" customHeight="1" x14ac:dyDescent="0.35">
      <c r="A133" s="27"/>
    </row>
    <row r="134" spans="1:1" ht="14.25" customHeight="1" x14ac:dyDescent="0.35">
      <c r="A134" s="27"/>
    </row>
    <row r="135" spans="1:1" ht="14.25" customHeight="1" x14ac:dyDescent="0.35">
      <c r="A135" s="27"/>
    </row>
    <row r="136" spans="1:1" ht="14.25" customHeight="1" x14ac:dyDescent="0.35">
      <c r="A136" s="27"/>
    </row>
    <row r="137" spans="1:1" ht="14.25" customHeight="1" x14ac:dyDescent="0.35">
      <c r="A137" s="27"/>
    </row>
    <row r="138" spans="1:1" ht="14.25" customHeight="1" x14ac:dyDescent="0.35">
      <c r="A138" s="27"/>
    </row>
    <row r="139" spans="1:1" ht="14.25" customHeight="1" x14ac:dyDescent="0.35">
      <c r="A139" s="27"/>
    </row>
    <row r="140" spans="1:1" ht="14.25" customHeight="1" x14ac:dyDescent="0.35">
      <c r="A140" s="27"/>
    </row>
    <row r="141" spans="1:1" ht="14.25" customHeight="1" x14ac:dyDescent="0.35">
      <c r="A141" s="27"/>
    </row>
    <row r="142" spans="1:1" ht="14.25" customHeight="1" x14ac:dyDescent="0.35">
      <c r="A142" s="27"/>
    </row>
    <row r="143" spans="1:1" ht="14.25" customHeight="1" x14ac:dyDescent="0.35">
      <c r="A143" s="27"/>
    </row>
    <row r="144" spans="1:1" ht="14.25" customHeight="1" x14ac:dyDescent="0.35">
      <c r="A144" s="27"/>
    </row>
    <row r="145" spans="1:1" ht="14.25" customHeight="1" x14ac:dyDescent="0.35">
      <c r="A145" s="27"/>
    </row>
    <row r="146" spans="1:1" ht="14.25" customHeight="1" x14ac:dyDescent="0.35">
      <c r="A146" s="27"/>
    </row>
    <row r="147" spans="1:1" ht="14.25" customHeight="1" x14ac:dyDescent="0.35">
      <c r="A147" s="27"/>
    </row>
    <row r="148" spans="1:1" ht="14.25" customHeight="1" x14ac:dyDescent="0.35">
      <c r="A148" s="27"/>
    </row>
    <row r="149" spans="1:1" ht="14.25" customHeight="1" x14ac:dyDescent="0.35">
      <c r="A149" s="27"/>
    </row>
    <row r="150" spans="1:1" ht="14.25" customHeight="1" x14ac:dyDescent="0.35">
      <c r="A150" s="27"/>
    </row>
    <row r="151" spans="1:1" ht="14.25" customHeight="1" x14ac:dyDescent="0.35">
      <c r="A151" s="27"/>
    </row>
    <row r="152" spans="1:1" ht="14.25" customHeight="1" x14ac:dyDescent="0.35">
      <c r="A152" s="27"/>
    </row>
    <row r="153" spans="1:1" ht="14.25" customHeight="1" x14ac:dyDescent="0.35">
      <c r="A153" s="27"/>
    </row>
    <row r="154" spans="1:1" ht="14.25" customHeight="1" x14ac:dyDescent="0.35">
      <c r="A154" s="27"/>
    </row>
    <row r="155" spans="1:1" ht="14.25" customHeight="1" x14ac:dyDescent="0.35">
      <c r="A155" s="27"/>
    </row>
    <row r="156" spans="1:1" ht="14.25" customHeight="1" x14ac:dyDescent="0.35">
      <c r="A156" s="27"/>
    </row>
    <row r="157" spans="1:1" ht="14.25" customHeight="1" x14ac:dyDescent="0.35">
      <c r="A157" s="27"/>
    </row>
    <row r="158" spans="1:1" ht="14.25" customHeight="1" x14ac:dyDescent="0.35">
      <c r="A158" s="27"/>
    </row>
    <row r="159" spans="1:1" ht="14.25" customHeight="1" x14ac:dyDescent="0.35">
      <c r="A159" s="27"/>
    </row>
    <row r="160" spans="1:1" ht="14.25" customHeight="1" x14ac:dyDescent="0.35">
      <c r="A160" s="27"/>
    </row>
    <row r="161" spans="1:1" ht="14.25" customHeight="1" x14ac:dyDescent="0.35">
      <c r="A161" s="27"/>
    </row>
    <row r="162" spans="1:1" ht="14.25" customHeight="1" x14ac:dyDescent="0.35">
      <c r="A162" s="27"/>
    </row>
    <row r="163" spans="1:1" ht="14.25" customHeight="1" x14ac:dyDescent="0.35">
      <c r="A163" s="27"/>
    </row>
    <row r="164" spans="1:1" ht="14.25" customHeight="1" x14ac:dyDescent="0.35">
      <c r="A164" s="27"/>
    </row>
    <row r="165" spans="1:1" ht="14.25" customHeight="1" x14ac:dyDescent="0.35">
      <c r="A165" s="27"/>
    </row>
    <row r="166" spans="1:1" ht="14.25" customHeight="1" x14ac:dyDescent="0.35">
      <c r="A166" s="27"/>
    </row>
    <row r="167" spans="1:1" ht="14.25" customHeight="1" x14ac:dyDescent="0.35">
      <c r="A167" s="27"/>
    </row>
    <row r="168" spans="1:1" ht="14.25" customHeight="1" x14ac:dyDescent="0.35">
      <c r="A168" s="27"/>
    </row>
    <row r="169" spans="1:1" ht="14.25" customHeight="1" x14ac:dyDescent="0.35">
      <c r="A169" s="27"/>
    </row>
    <row r="170" spans="1:1" ht="14.25" customHeight="1" x14ac:dyDescent="0.35">
      <c r="A170" s="27"/>
    </row>
    <row r="171" spans="1:1" ht="14.25" customHeight="1" x14ac:dyDescent="0.35">
      <c r="A171" s="27"/>
    </row>
    <row r="172" spans="1:1" ht="14.25" customHeight="1" x14ac:dyDescent="0.35">
      <c r="A172" s="27"/>
    </row>
    <row r="173" spans="1:1" ht="14.25" customHeight="1" x14ac:dyDescent="0.35">
      <c r="A173" s="27"/>
    </row>
    <row r="174" spans="1:1" ht="14.25" customHeight="1" x14ac:dyDescent="0.35">
      <c r="A174" s="27"/>
    </row>
    <row r="175" spans="1:1" ht="14.25" customHeight="1" x14ac:dyDescent="0.35">
      <c r="A175" s="27"/>
    </row>
    <row r="176" spans="1:1" ht="14.25" customHeight="1" x14ac:dyDescent="0.35">
      <c r="A176" s="27"/>
    </row>
    <row r="177" spans="1:1" ht="14.25" customHeight="1" x14ac:dyDescent="0.35">
      <c r="A177" s="27"/>
    </row>
    <row r="178" spans="1:1" ht="14.25" customHeight="1" x14ac:dyDescent="0.35">
      <c r="A178" s="27"/>
    </row>
    <row r="179" spans="1:1" ht="14.25" customHeight="1" x14ac:dyDescent="0.35">
      <c r="A179" s="27"/>
    </row>
    <row r="180" spans="1:1" ht="14.25" customHeight="1" x14ac:dyDescent="0.35">
      <c r="A180" s="27"/>
    </row>
    <row r="181" spans="1:1" ht="14.25" customHeight="1" x14ac:dyDescent="0.35">
      <c r="A181" s="27"/>
    </row>
    <row r="182" spans="1:1" ht="14.25" customHeight="1" x14ac:dyDescent="0.35">
      <c r="A182" s="27"/>
    </row>
    <row r="183" spans="1:1" ht="14.25" customHeight="1" x14ac:dyDescent="0.35">
      <c r="A183" s="27"/>
    </row>
    <row r="184" spans="1:1" ht="14.25" customHeight="1" x14ac:dyDescent="0.35">
      <c r="A184" s="27"/>
    </row>
    <row r="185" spans="1:1" ht="14.25" customHeight="1" x14ac:dyDescent="0.35">
      <c r="A185" s="27"/>
    </row>
    <row r="186" spans="1:1" ht="14.25" customHeight="1" x14ac:dyDescent="0.35">
      <c r="A186" s="27"/>
    </row>
    <row r="187" spans="1:1" ht="14.25" customHeight="1" x14ac:dyDescent="0.35">
      <c r="A187" s="27"/>
    </row>
    <row r="188" spans="1:1" ht="14.25" customHeight="1" x14ac:dyDescent="0.35">
      <c r="A188" s="27"/>
    </row>
    <row r="189" spans="1:1" ht="14.25" customHeight="1" x14ac:dyDescent="0.35">
      <c r="A189" s="27"/>
    </row>
    <row r="190" spans="1:1" ht="14.25" customHeight="1" x14ac:dyDescent="0.35">
      <c r="A190" s="27"/>
    </row>
    <row r="191" spans="1:1" ht="14.25" customHeight="1" x14ac:dyDescent="0.35">
      <c r="A191" s="27"/>
    </row>
    <row r="192" spans="1:1" ht="14.25" customHeight="1" x14ac:dyDescent="0.35">
      <c r="A192" s="27"/>
    </row>
    <row r="193" spans="1:1" ht="14.25" customHeight="1" x14ac:dyDescent="0.35">
      <c r="A193" s="27"/>
    </row>
    <row r="194" spans="1:1" ht="14.25" customHeight="1" x14ac:dyDescent="0.35">
      <c r="A194" s="27"/>
    </row>
    <row r="195" spans="1:1" ht="14.25" customHeight="1" x14ac:dyDescent="0.35">
      <c r="A195" s="27"/>
    </row>
    <row r="196" spans="1:1" ht="14.25" customHeight="1" x14ac:dyDescent="0.35">
      <c r="A196" s="27"/>
    </row>
    <row r="197" spans="1:1" ht="14.25" customHeight="1" x14ac:dyDescent="0.35">
      <c r="A197" s="27"/>
    </row>
    <row r="198" spans="1:1" ht="14.25" customHeight="1" x14ac:dyDescent="0.35">
      <c r="A198" s="27"/>
    </row>
    <row r="199" spans="1:1" ht="14.25" customHeight="1" x14ac:dyDescent="0.35">
      <c r="A199" s="27"/>
    </row>
    <row r="200" spans="1:1" ht="14.25" customHeight="1" x14ac:dyDescent="0.35">
      <c r="A200" s="27"/>
    </row>
    <row r="201" spans="1:1" ht="14.25" customHeight="1" x14ac:dyDescent="0.35">
      <c r="A201" s="27"/>
    </row>
    <row r="202" spans="1:1" ht="14.25" customHeight="1" x14ac:dyDescent="0.35">
      <c r="A202" s="27"/>
    </row>
    <row r="203" spans="1:1" ht="14.25" customHeight="1" x14ac:dyDescent="0.35">
      <c r="A203" s="27"/>
    </row>
    <row r="204" spans="1:1" ht="14.25" customHeight="1" x14ac:dyDescent="0.35">
      <c r="A204" s="27"/>
    </row>
    <row r="205" spans="1:1" ht="14.25" customHeight="1" x14ac:dyDescent="0.35">
      <c r="A205" s="27"/>
    </row>
    <row r="206" spans="1:1" ht="14.25" customHeight="1" x14ac:dyDescent="0.35">
      <c r="A206" s="27"/>
    </row>
    <row r="207" spans="1:1" ht="14.25" customHeight="1" x14ac:dyDescent="0.35">
      <c r="A207" s="27"/>
    </row>
    <row r="208" spans="1:1" ht="14.25" customHeight="1" x14ac:dyDescent="0.35">
      <c r="A208" s="27"/>
    </row>
    <row r="209" spans="1:1" ht="14.25" customHeight="1" x14ac:dyDescent="0.35">
      <c r="A209" s="27"/>
    </row>
    <row r="210" spans="1:1" ht="14.25" customHeight="1" x14ac:dyDescent="0.35">
      <c r="A210" s="27"/>
    </row>
    <row r="211" spans="1:1" ht="14.25" customHeight="1" x14ac:dyDescent="0.35">
      <c r="A211" s="27"/>
    </row>
    <row r="212" spans="1:1" ht="14.25" customHeight="1" x14ac:dyDescent="0.35">
      <c r="A212" s="27"/>
    </row>
    <row r="213" spans="1:1" ht="14.25" customHeight="1" x14ac:dyDescent="0.35">
      <c r="A213" s="27"/>
    </row>
    <row r="214" spans="1:1" ht="14.25" customHeight="1" x14ac:dyDescent="0.35">
      <c r="A214" s="27"/>
    </row>
    <row r="215" spans="1:1" ht="14.25" customHeight="1" x14ac:dyDescent="0.35">
      <c r="A215" s="27"/>
    </row>
    <row r="216" spans="1:1" ht="14.25" customHeight="1" x14ac:dyDescent="0.35">
      <c r="A216" s="27"/>
    </row>
    <row r="217" spans="1:1" ht="14.25" customHeight="1" x14ac:dyDescent="0.35">
      <c r="A217" s="27"/>
    </row>
    <row r="218" spans="1:1" ht="14.25" customHeight="1" x14ac:dyDescent="0.35">
      <c r="A218" s="27"/>
    </row>
    <row r="219" spans="1:1" ht="14.25" customHeight="1" x14ac:dyDescent="0.35">
      <c r="A219" s="27"/>
    </row>
    <row r="220" spans="1:1" ht="14.25" customHeight="1" x14ac:dyDescent="0.35">
      <c r="A220" s="27"/>
    </row>
    <row r="221" spans="1:1" ht="14.25" customHeight="1" x14ac:dyDescent="0.35">
      <c r="A221" s="27"/>
    </row>
    <row r="222" spans="1:1" ht="14.25" customHeight="1" x14ac:dyDescent="0.35">
      <c r="A222" s="27"/>
    </row>
    <row r="223" spans="1:1" ht="14.25" customHeight="1" x14ac:dyDescent="0.35">
      <c r="A223" s="27"/>
    </row>
    <row r="224" spans="1:1" ht="14.25" customHeight="1" x14ac:dyDescent="0.35">
      <c r="A224" s="27"/>
    </row>
    <row r="225" spans="1:1" ht="14.25" customHeight="1" x14ac:dyDescent="0.35">
      <c r="A225" s="27"/>
    </row>
    <row r="226" spans="1:1" ht="14.25" customHeight="1" x14ac:dyDescent="0.35">
      <c r="A226" s="27"/>
    </row>
    <row r="227" spans="1:1" ht="14.25" customHeight="1" x14ac:dyDescent="0.35">
      <c r="A227" s="27"/>
    </row>
    <row r="228" spans="1:1" ht="14.25" customHeight="1" x14ac:dyDescent="0.35">
      <c r="A228" s="27"/>
    </row>
    <row r="229" spans="1:1" ht="14.25" customHeight="1" x14ac:dyDescent="0.35">
      <c r="A229" s="27"/>
    </row>
    <row r="230" spans="1:1" ht="14.25" customHeight="1" x14ac:dyDescent="0.35">
      <c r="A230" s="27"/>
    </row>
    <row r="231" spans="1:1" ht="14.25" customHeight="1" x14ac:dyDescent="0.35">
      <c r="A231" s="27"/>
    </row>
    <row r="232" spans="1:1" ht="14.25" customHeight="1" x14ac:dyDescent="0.35">
      <c r="A232" s="27"/>
    </row>
    <row r="233" spans="1:1" ht="14.25" customHeight="1" x14ac:dyDescent="0.35">
      <c r="A233" s="27"/>
    </row>
    <row r="234" spans="1:1" ht="14.25" customHeight="1" x14ac:dyDescent="0.35">
      <c r="A234" s="27"/>
    </row>
    <row r="235" spans="1:1" ht="14.25" customHeight="1" x14ac:dyDescent="0.35">
      <c r="A235" s="27"/>
    </row>
    <row r="236" spans="1:1" ht="14.25" customHeight="1" x14ac:dyDescent="0.35">
      <c r="A236" s="27"/>
    </row>
    <row r="237" spans="1:1" ht="14.25" customHeight="1" x14ac:dyDescent="0.35">
      <c r="A237" s="27"/>
    </row>
    <row r="238" spans="1:1" ht="14.25" customHeight="1" x14ac:dyDescent="0.35">
      <c r="A238" s="27"/>
    </row>
    <row r="239" spans="1:1" ht="14.25" customHeight="1" x14ac:dyDescent="0.35">
      <c r="A239" s="27"/>
    </row>
    <row r="240" spans="1:1" ht="14.25" customHeight="1" x14ac:dyDescent="0.35">
      <c r="A240" s="27"/>
    </row>
    <row r="241" spans="1:1" ht="14.25" customHeight="1" x14ac:dyDescent="0.35">
      <c r="A241" s="27"/>
    </row>
    <row r="242" spans="1:1" ht="14.25" customHeight="1" x14ac:dyDescent="0.35">
      <c r="A242" s="27"/>
    </row>
    <row r="243" spans="1:1" ht="14.25" customHeight="1" x14ac:dyDescent="0.35">
      <c r="A243" s="27"/>
    </row>
    <row r="244" spans="1:1" ht="14.25" customHeight="1" x14ac:dyDescent="0.35">
      <c r="A244" s="27"/>
    </row>
    <row r="245" spans="1:1" ht="14.25" customHeight="1" x14ac:dyDescent="0.35">
      <c r="A245" s="27"/>
    </row>
    <row r="246" spans="1:1" ht="14.25" customHeight="1" x14ac:dyDescent="0.35">
      <c r="A246" s="27"/>
    </row>
    <row r="247" spans="1:1" ht="14.25" customHeight="1" x14ac:dyDescent="0.35">
      <c r="A247" s="27"/>
    </row>
    <row r="248" spans="1:1" ht="14.25" customHeight="1" x14ac:dyDescent="0.35">
      <c r="A248" s="27"/>
    </row>
    <row r="249" spans="1:1" ht="14.25" customHeight="1" x14ac:dyDescent="0.35">
      <c r="A249" s="27"/>
    </row>
    <row r="250" spans="1:1" ht="14.25" customHeight="1" x14ac:dyDescent="0.35">
      <c r="A250" s="27"/>
    </row>
    <row r="251" spans="1:1" ht="14.25" customHeight="1" x14ac:dyDescent="0.35">
      <c r="A251" s="27"/>
    </row>
    <row r="252" spans="1:1" ht="14.25" customHeight="1" x14ac:dyDescent="0.35">
      <c r="A252" s="27"/>
    </row>
    <row r="253" spans="1:1" ht="14.25" customHeight="1" x14ac:dyDescent="0.35">
      <c r="A253" s="27"/>
    </row>
    <row r="254" spans="1:1" ht="14.25" customHeight="1" x14ac:dyDescent="0.35">
      <c r="A254" s="27"/>
    </row>
    <row r="255" spans="1:1" ht="14.25" customHeight="1" x14ac:dyDescent="0.35">
      <c r="A255" s="27"/>
    </row>
    <row r="256" spans="1:1" ht="14.25" customHeight="1" x14ac:dyDescent="0.35">
      <c r="A256" s="27"/>
    </row>
    <row r="257" spans="1:1" ht="14.25" customHeight="1" x14ac:dyDescent="0.35">
      <c r="A257" s="27"/>
    </row>
    <row r="258" spans="1:1" ht="14.25" customHeight="1" x14ac:dyDescent="0.35">
      <c r="A258" s="27"/>
    </row>
    <row r="259" spans="1:1" ht="14.25" customHeight="1" x14ac:dyDescent="0.35">
      <c r="A259" s="27"/>
    </row>
    <row r="260" spans="1:1" ht="14.25" customHeight="1" x14ac:dyDescent="0.35">
      <c r="A260" s="27"/>
    </row>
    <row r="261" spans="1:1" ht="14.25" customHeight="1" x14ac:dyDescent="0.35">
      <c r="A261" s="27"/>
    </row>
    <row r="262" spans="1:1" ht="14.25" customHeight="1" x14ac:dyDescent="0.35">
      <c r="A262" s="27"/>
    </row>
    <row r="263" spans="1:1" ht="14.25" customHeight="1" x14ac:dyDescent="0.35">
      <c r="A263" s="27"/>
    </row>
    <row r="264" spans="1:1" ht="14.25" customHeight="1" x14ac:dyDescent="0.35">
      <c r="A264" s="27"/>
    </row>
    <row r="265" spans="1:1" ht="14.25" customHeight="1" x14ac:dyDescent="0.35">
      <c r="A265" s="27"/>
    </row>
    <row r="266" spans="1:1" ht="14.25" customHeight="1" x14ac:dyDescent="0.35">
      <c r="A266" s="27"/>
    </row>
    <row r="267" spans="1:1" ht="14.25" customHeight="1" x14ac:dyDescent="0.35">
      <c r="A267" s="27"/>
    </row>
    <row r="268" spans="1:1" ht="14.25" customHeight="1" x14ac:dyDescent="0.35">
      <c r="A268" s="27"/>
    </row>
    <row r="269" spans="1:1" ht="14.25" customHeight="1" x14ac:dyDescent="0.35">
      <c r="A269" s="27"/>
    </row>
    <row r="270" spans="1:1" ht="14.25" customHeight="1" x14ac:dyDescent="0.35">
      <c r="A270" s="27"/>
    </row>
    <row r="271" spans="1:1" ht="14.25" customHeight="1" x14ac:dyDescent="0.35">
      <c r="A271" s="27"/>
    </row>
    <row r="272" spans="1:1" ht="14.25" customHeight="1" x14ac:dyDescent="0.35">
      <c r="A272" s="27"/>
    </row>
    <row r="273" spans="1:1" ht="14.25" customHeight="1" x14ac:dyDescent="0.35">
      <c r="A273" s="27"/>
    </row>
    <row r="274" spans="1:1" ht="14.25" customHeight="1" x14ac:dyDescent="0.35">
      <c r="A274" s="27"/>
    </row>
    <row r="275" spans="1:1" ht="14.25" customHeight="1" x14ac:dyDescent="0.35">
      <c r="A275" s="27"/>
    </row>
    <row r="276" spans="1:1" ht="14.25" customHeight="1" x14ac:dyDescent="0.35">
      <c r="A276" s="27"/>
    </row>
    <row r="277" spans="1:1" ht="14.25" customHeight="1" x14ac:dyDescent="0.35">
      <c r="A277" s="27"/>
    </row>
    <row r="278" spans="1:1" ht="14.25" customHeight="1" x14ac:dyDescent="0.35">
      <c r="A278" s="27"/>
    </row>
    <row r="279" spans="1:1" ht="14.25" customHeight="1" x14ac:dyDescent="0.35">
      <c r="A279" s="27"/>
    </row>
    <row r="280" spans="1:1" ht="14.25" customHeight="1" x14ac:dyDescent="0.35">
      <c r="A280" s="27"/>
    </row>
    <row r="281" spans="1:1" ht="14.25" customHeight="1" x14ac:dyDescent="0.35">
      <c r="A281" s="27"/>
    </row>
    <row r="282" spans="1:1" ht="14.25" customHeight="1" x14ac:dyDescent="0.35">
      <c r="A282" s="27"/>
    </row>
    <row r="283" spans="1:1" ht="14.25" customHeight="1" x14ac:dyDescent="0.35">
      <c r="A283" s="27"/>
    </row>
    <row r="284" spans="1:1" ht="14.25" customHeight="1" x14ac:dyDescent="0.35">
      <c r="A284" s="27"/>
    </row>
    <row r="285" spans="1:1" ht="14.25" customHeight="1" x14ac:dyDescent="0.35">
      <c r="A285" s="27"/>
    </row>
    <row r="286" spans="1:1" ht="14.25" customHeight="1" x14ac:dyDescent="0.35">
      <c r="A286" s="27"/>
    </row>
    <row r="287" spans="1:1" ht="14.25" customHeight="1" x14ac:dyDescent="0.35">
      <c r="A287" s="27"/>
    </row>
    <row r="288" spans="1:1" ht="14.25" customHeight="1" x14ac:dyDescent="0.35">
      <c r="A288" s="27"/>
    </row>
    <row r="289" spans="1:1" ht="14.25" customHeight="1" x14ac:dyDescent="0.35">
      <c r="A289" s="27"/>
    </row>
    <row r="290" spans="1:1" ht="14.25" customHeight="1" x14ac:dyDescent="0.35">
      <c r="A290" s="27"/>
    </row>
    <row r="291" spans="1:1" ht="14.25" customHeight="1" x14ac:dyDescent="0.35">
      <c r="A291" s="27"/>
    </row>
    <row r="292" spans="1:1" ht="14.25" customHeight="1" x14ac:dyDescent="0.35">
      <c r="A292" s="27"/>
    </row>
    <row r="293" spans="1:1" ht="14.25" customHeight="1" x14ac:dyDescent="0.35">
      <c r="A293" s="27"/>
    </row>
    <row r="294" spans="1:1" ht="14.25" customHeight="1" x14ac:dyDescent="0.35">
      <c r="A294" s="27"/>
    </row>
    <row r="295" spans="1:1" ht="14.25" customHeight="1" x14ac:dyDescent="0.35">
      <c r="A295" s="27"/>
    </row>
    <row r="296" spans="1:1" ht="14.25" customHeight="1" x14ac:dyDescent="0.35">
      <c r="A296" s="27"/>
    </row>
    <row r="297" spans="1:1" ht="14.25" customHeight="1" x14ac:dyDescent="0.35">
      <c r="A297" s="27"/>
    </row>
    <row r="298" spans="1:1" ht="14.25" customHeight="1" x14ac:dyDescent="0.35">
      <c r="A298" s="27"/>
    </row>
    <row r="299" spans="1:1" ht="14.25" customHeight="1" x14ac:dyDescent="0.35">
      <c r="A299" s="27"/>
    </row>
    <row r="300" spans="1:1" ht="14.25" customHeight="1" x14ac:dyDescent="0.35">
      <c r="A300" s="27"/>
    </row>
    <row r="301" spans="1:1" ht="14.25" customHeight="1" x14ac:dyDescent="0.35">
      <c r="A301" s="27"/>
    </row>
    <row r="302" spans="1:1" ht="14.25" customHeight="1" x14ac:dyDescent="0.35">
      <c r="A302" s="27"/>
    </row>
    <row r="303" spans="1:1" ht="14.25" customHeight="1" x14ac:dyDescent="0.35">
      <c r="A303" s="27"/>
    </row>
    <row r="304" spans="1:1" ht="14.25" customHeight="1" x14ac:dyDescent="0.35">
      <c r="A304" s="27"/>
    </row>
    <row r="305" spans="1:1" ht="14.25" customHeight="1" x14ac:dyDescent="0.35">
      <c r="A305" s="27"/>
    </row>
    <row r="306" spans="1:1" ht="14.25" customHeight="1" x14ac:dyDescent="0.35">
      <c r="A306" s="27"/>
    </row>
    <row r="307" spans="1:1" ht="14.25" customHeight="1" x14ac:dyDescent="0.35">
      <c r="A307" s="27"/>
    </row>
    <row r="308" spans="1:1" ht="14.25" customHeight="1" x14ac:dyDescent="0.35">
      <c r="A308" s="27"/>
    </row>
    <row r="309" spans="1:1" ht="14.25" customHeight="1" x14ac:dyDescent="0.35">
      <c r="A309" s="27"/>
    </row>
    <row r="310" spans="1:1" ht="14.25" customHeight="1" x14ac:dyDescent="0.35">
      <c r="A310" s="27"/>
    </row>
    <row r="311" spans="1:1" ht="14.25" customHeight="1" x14ac:dyDescent="0.35">
      <c r="A311" s="27"/>
    </row>
    <row r="312" spans="1:1" ht="14.25" customHeight="1" x14ac:dyDescent="0.35">
      <c r="A312" s="27"/>
    </row>
    <row r="313" spans="1:1" ht="14.25" customHeight="1" x14ac:dyDescent="0.35">
      <c r="A313" s="27"/>
    </row>
    <row r="314" spans="1:1" ht="14.25" customHeight="1" x14ac:dyDescent="0.35">
      <c r="A314" s="27"/>
    </row>
    <row r="315" spans="1:1" ht="14.25" customHeight="1" x14ac:dyDescent="0.35">
      <c r="A315" s="27"/>
    </row>
    <row r="316" spans="1:1" ht="14.25" customHeight="1" x14ac:dyDescent="0.35">
      <c r="A316" s="27"/>
    </row>
    <row r="317" spans="1:1" ht="14.25" customHeight="1" x14ac:dyDescent="0.35">
      <c r="A317" s="27"/>
    </row>
    <row r="318" spans="1:1" ht="14.25" customHeight="1" x14ac:dyDescent="0.35">
      <c r="A318" s="27"/>
    </row>
    <row r="319" spans="1:1" ht="14.25" customHeight="1" x14ac:dyDescent="0.35">
      <c r="A319" s="27"/>
    </row>
    <row r="320" spans="1:1" ht="14.25" customHeight="1" x14ac:dyDescent="0.35">
      <c r="A320" s="27"/>
    </row>
    <row r="321" spans="1:1" ht="14.25" customHeight="1" x14ac:dyDescent="0.35">
      <c r="A321" s="27"/>
    </row>
    <row r="322" spans="1:1" ht="14.25" customHeight="1" x14ac:dyDescent="0.35">
      <c r="A322" s="27"/>
    </row>
    <row r="323" spans="1:1" ht="14.25" customHeight="1" x14ac:dyDescent="0.35">
      <c r="A323" s="27"/>
    </row>
    <row r="324" spans="1:1" ht="14.25" customHeight="1" x14ac:dyDescent="0.35">
      <c r="A324" s="27"/>
    </row>
    <row r="325" spans="1:1" ht="14.25" customHeight="1" x14ac:dyDescent="0.35">
      <c r="A325" s="27"/>
    </row>
    <row r="326" spans="1:1" ht="14.25" customHeight="1" x14ac:dyDescent="0.35">
      <c r="A326" s="27"/>
    </row>
    <row r="327" spans="1:1" ht="14.25" customHeight="1" x14ac:dyDescent="0.35">
      <c r="A327" s="27"/>
    </row>
    <row r="328" spans="1:1" ht="14.25" customHeight="1" x14ac:dyDescent="0.35">
      <c r="A328" s="27"/>
    </row>
    <row r="329" spans="1:1" ht="14.25" customHeight="1" x14ac:dyDescent="0.35">
      <c r="A329" s="27"/>
    </row>
    <row r="330" spans="1:1" ht="14.25" customHeight="1" x14ac:dyDescent="0.35">
      <c r="A330" s="27"/>
    </row>
    <row r="331" spans="1:1" ht="14.25" customHeight="1" x14ac:dyDescent="0.35">
      <c r="A331" s="27"/>
    </row>
    <row r="332" spans="1:1" ht="14.25" customHeight="1" x14ac:dyDescent="0.35">
      <c r="A332" s="27"/>
    </row>
    <row r="333" spans="1:1" ht="14.25" customHeight="1" x14ac:dyDescent="0.35">
      <c r="A333" s="27"/>
    </row>
    <row r="334" spans="1:1" ht="14.25" customHeight="1" x14ac:dyDescent="0.35">
      <c r="A334" s="27"/>
    </row>
    <row r="335" spans="1:1" ht="14.25" customHeight="1" x14ac:dyDescent="0.35">
      <c r="A335" s="27"/>
    </row>
    <row r="336" spans="1:1" ht="14.25" customHeight="1" x14ac:dyDescent="0.35">
      <c r="A336" s="27"/>
    </row>
    <row r="337" spans="1:1" ht="14.25" customHeight="1" x14ac:dyDescent="0.35">
      <c r="A337" s="27"/>
    </row>
    <row r="338" spans="1:1" ht="14.25" customHeight="1" x14ac:dyDescent="0.35">
      <c r="A338" s="27"/>
    </row>
    <row r="339" spans="1:1" ht="14.25" customHeight="1" x14ac:dyDescent="0.35">
      <c r="A339" s="27"/>
    </row>
    <row r="340" spans="1:1" ht="14.25" customHeight="1" x14ac:dyDescent="0.35">
      <c r="A340" s="27"/>
    </row>
    <row r="341" spans="1:1" ht="14.25" customHeight="1" x14ac:dyDescent="0.35">
      <c r="A341" s="27"/>
    </row>
    <row r="342" spans="1:1" ht="14.25" customHeight="1" x14ac:dyDescent="0.35">
      <c r="A342" s="27"/>
    </row>
    <row r="343" spans="1:1" ht="14.25" customHeight="1" x14ac:dyDescent="0.35">
      <c r="A343" s="27"/>
    </row>
    <row r="344" spans="1:1" ht="14.25" customHeight="1" x14ac:dyDescent="0.35">
      <c r="A344" s="27"/>
    </row>
    <row r="345" spans="1:1" ht="14.25" customHeight="1" x14ac:dyDescent="0.35">
      <c r="A345" s="27"/>
    </row>
    <row r="346" spans="1:1" ht="14.25" customHeight="1" x14ac:dyDescent="0.35">
      <c r="A346" s="27"/>
    </row>
    <row r="347" spans="1:1" ht="14.25" customHeight="1" x14ac:dyDescent="0.35">
      <c r="A347" s="27"/>
    </row>
    <row r="348" spans="1:1" ht="14.25" customHeight="1" x14ac:dyDescent="0.35">
      <c r="A348" s="27"/>
    </row>
    <row r="349" spans="1:1" ht="14.25" customHeight="1" x14ac:dyDescent="0.35">
      <c r="A349" s="27"/>
    </row>
    <row r="350" spans="1:1" ht="14.25" customHeight="1" x14ac:dyDescent="0.35">
      <c r="A350" s="27"/>
    </row>
    <row r="351" spans="1:1" ht="14.25" customHeight="1" x14ac:dyDescent="0.35">
      <c r="A351" s="27"/>
    </row>
    <row r="352" spans="1:1" ht="14.25" customHeight="1" x14ac:dyDescent="0.35">
      <c r="A352" s="27"/>
    </row>
    <row r="353" spans="1:1" ht="14.25" customHeight="1" x14ac:dyDescent="0.35">
      <c r="A353" s="27"/>
    </row>
    <row r="354" spans="1:1" ht="14.25" customHeight="1" x14ac:dyDescent="0.35">
      <c r="A354" s="27"/>
    </row>
    <row r="355" spans="1:1" ht="14.25" customHeight="1" x14ac:dyDescent="0.35">
      <c r="A355" s="27"/>
    </row>
    <row r="356" spans="1:1" ht="14.25" customHeight="1" x14ac:dyDescent="0.35">
      <c r="A356" s="27"/>
    </row>
    <row r="357" spans="1:1" ht="14.25" customHeight="1" x14ac:dyDescent="0.35">
      <c r="A357" s="27"/>
    </row>
    <row r="358" spans="1:1" ht="14.25" customHeight="1" x14ac:dyDescent="0.35">
      <c r="A358" s="27"/>
    </row>
    <row r="359" spans="1:1" ht="14.25" customHeight="1" x14ac:dyDescent="0.35">
      <c r="A359" s="27"/>
    </row>
    <row r="360" spans="1:1" ht="14.25" customHeight="1" x14ac:dyDescent="0.35">
      <c r="A360" s="27"/>
    </row>
    <row r="361" spans="1:1" ht="14.25" customHeight="1" x14ac:dyDescent="0.35">
      <c r="A361" s="27"/>
    </row>
    <row r="362" spans="1:1" ht="14.25" customHeight="1" x14ac:dyDescent="0.35">
      <c r="A362" s="27"/>
    </row>
    <row r="363" spans="1:1" ht="14.25" customHeight="1" x14ac:dyDescent="0.35">
      <c r="A363" s="27"/>
    </row>
    <row r="364" spans="1:1" ht="14.25" customHeight="1" x14ac:dyDescent="0.35">
      <c r="A364" s="27"/>
    </row>
    <row r="365" spans="1:1" ht="14.25" customHeight="1" x14ac:dyDescent="0.35">
      <c r="A365" s="27"/>
    </row>
    <row r="366" spans="1:1" ht="14.25" customHeight="1" x14ac:dyDescent="0.35">
      <c r="A366" s="27"/>
    </row>
    <row r="367" spans="1:1" ht="14.25" customHeight="1" x14ac:dyDescent="0.35">
      <c r="A367" s="27"/>
    </row>
    <row r="368" spans="1:1" ht="14.25" customHeight="1" x14ac:dyDescent="0.35">
      <c r="A368" s="27"/>
    </row>
    <row r="369" spans="1:1" ht="14.25" customHeight="1" x14ac:dyDescent="0.35">
      <c r="A369" s="27"/>
    </row>
    <row r="370" spans="1:1" ht="14.25" customHeight="1" x14ac:dyDescent="0.35">
      <c r="A370" s="27"/>
    </row>
    <row r="371" spans="1:1" ht="14.25" customHeight="1" x14ac:dyDescent="0.35">
      <c r="A371" s="27"/>
    </row>
    <row r="372" spans="1:1" ht="14.25" customHeight="1" x14ac:dyDescent="0.35">
      <c r="A372" s="27"/>
    </row>
    <row r="373" spans="1:1" ht="14.25" customHeight="1" x14ac:dyDescent="0.35">
      <c r="A373" s="27"/>
    </row>
    <row r="374" spans="1:1" ht="14.25" customHeight="1" x14ac:dyDescent="0.35">
      <c r="A374" s="27"/>
    </row>
    <row r="375" spans="1:1" ht="14.25" customHeight="1" x14ac:dyDescent="0.35">
      <c r="A375" s="27"/>
    </row>
    <row r="376" spans="1:1" ht="14.25" customHeight="1" x14ac:dyDescent="0.35">
      <c r="A376" s="27"/>
    </row>
    <row r="377" spans="1:1" ht="14.25" customHeight="1" x14ac:dyDescent="0.35">
      <c r="A377" s="27"/>
    </row>
    <row r="378" spans="1:1" ht="14.25" customHeight="1" x14ac:dyDescent="0.35">
      <c r="A378" s="27"/>
    </row>
    <row r="379" spans="1:1" ht="14.25" customHeight="1" x14ac:dyDescent="0.35">
      <c r="A379" s="27"/>
    </row>
    <row r="380" spans="1:1" ht="14.25" customHeight="1" x14ac:dyDescent="0.35">
      <c r="A380" s="27"/>
    </row>
    <row r="381" spans="1:1" ht="14.25" customHeight="1" x14ac:dyDescent="0.35">
      <c r="A381" s="27"/>
    </row>
    <row r="382" spans="1:1" ht="14.25" customHeight="1" x14ac:dyDescent="0.35">
      <c r="A382" s="27"/>
    </row>
    <row r="383" spans="1:1" ht="14.25" customHeight="1" x14ac:dyDescent="0.35">
      <c r="A383" s="27"/>
    </row>
    <row r="384" spans="1:1" ht="14.25" customHeight="1" x14ac:dyDescent="0.35">
      <c r="A384" s="27"/>
    </row>
    <row r="385" spans="1:1" ht="14.25" customHeight="1" x14ac:dyDescent="0.35">
      <c r="A385" s="27"/>
    </row>
    <row r="386" spans="1:1" ht="14.25" customHeight="1" x14ac:dyDescent="0.35">
      <c r="A386" s="27"/>
    </row>
    <row r="387" spans="1:1" ht="14.25" customHeight="1" x14ac:dyDescent="0.35">
      <c r="A387" s="27"/>
    </row>
    <row r="388" spans="1:1" ht="14.25" customHeight="1" x14ac:dyDescent="0.35">
      <c r="A388" s="27"/>
    </row>
    <row r="389" spans="1:1" ht="14.25" customHeight="1" x14ac:dyDescent="0.35">
      <c r="A389" s="27"/>
    </row>
    <row r="390" spans="1:1" ht="14.25" customHeight="1" x14ac:dyDescent="0.35">
      <c r="A390" s="27"/>
    </row>
    <row r="391" spans="1:1" ht="14.25" customHeight="1" x14ac:dyDescent="0.35">
      <c r="A391" s="27"/>
    </row>
    <row r="392" spans="1:1" ht="14.25" customHeight="1" x14ac:dyDescent="0.35">
      <c r="A392" s="27"/>
    </row>
    <row r="393" spans="1:1" ht="14.25" customHeight="1" x14ac:dyDescent="0.35">
      <c r="A393" s="27"/>
    </row>
    <row r="394" spans="1:1" ht="14.25" customHeight="1" x14ac:dyDescent="0.35">
      <c r="A394" s="27"/>
    </row>
    <row r="395" spans="1:1" ht="14.25" customHeight="1" x14ac:dyDescent="0.35">
      <c r="A395" s="27"/>
    </row>
    <row r="396" spans="1:1" ht="14.25" customHeight="1" x14ac:dyDescent="0.35">
      <c r="A396" s="27"/>
    </row>
    <row r="397" spans="1:1" ht="14.25" customHeight="1" x14ac:dyDescent="0.35">
      <c r="A397" s="27"/>
    </row>
    <row r="398" spans="1:1" ht="14.25" customHeight="1" x14ac:dyDescent="0.35">
      <c r="A398" s="27"/>
    </row>
    <row r="399" spans="1:1" ht="14.25" customHeight="1" x14ac:dyDescent="0.35">
      <c r="A399" s="27"/>
    </row>
    <row r="400" spans="1:1" ht="14.25" customHeight="1" x14ac:dyDescent="0.35">
      <c r="A400" s="27"/>
    </row>
    <row r="401" spans="1:1" ht="14.25" customHeight="1" x14ac:dyDescent="0.35">
      <c r="A401" s="27"/>
    </row>
    <row r="402" spans="1:1" ht="14.25" customHeight="1" x14ac:dyDescent="0.35">
      <c r="A402" s="27"/>
    </row>
    <row r="403" spans="1:1" ht="14.25" customHeight="1" x14ac:dyDescent="0.35">
      <c r="A403" s="27"/>
    </row>
    <row r="404" spans="1:1" ht="14.25" customHeight="1" x14ac:dyDescent="0.35">
      <c r="A404" s="27"/>
    </row>
    <row r="405" spans="1:1" ht="14.25" customHeight="1" x14ac:dyDescent="0.35">
      <c r="A405" s="27"/>
    </row>
    <row r="406" spans="1:1" ht="14.25" customHeight="1" x14ac:dyDescent="0.35">
      <c r="A406" s="27"/>
    </row>
    <row r="407" spans="1:1" ht="14.25" customHeight="1" x14ac:dyDescent="0.35">
      <c r="A407" s="27"/>
    </row>
    <row r="408" spans="1:1" ht="14.25" customHeight="1" x14ac:dyDescent="0.35">
      <c r="A408" s="27"/>
    </row>
    <row r="409" spans="1:1" ht="14.25" customHeight="1" x14ac:dyDescent="0.35">
      <c r="A409" s="27"/>
    </row>
    <row r="410" spans="1:1" ht="14.25" customHeight="1" x14ac:dyDescent="0.35">
      <c r="A410" s="27"/>
    </row>
    <row r="411" spans="1:1" ht="14.25" customHeight="1" x14ac:dyDescent="0.35">
      <c r="A411" s="27"/>
    </row>
    <row r="412" spans="1:1" ht="14.25" customHeight="1" x14ac:dyDescent="0.35">
      <c r="A412" s="27"/>
    </row>
    <row r="413" spans="1:1" ht="14.25" customHeight="1" x14ac:dyDescent="0.35">
      <c r="A413" s="27"/>
    </row>
    <row r="414" spans="1:1" ht="14.25" customHeight="1" x14ac:dyDescent="0.35">
      <c r="A414" s="27"/>
    </row>
    <row r="415" spans="1:1" ht="14.25" customHeight="1" x14ac:dyDescent="0.35">
      <c r="A415" s="27"/>
    </row>
    <row r="416" spans="1:1" ht="14.25" customHeight="1" x14ac:dyDescent="0.35">
      <c r="A416" s="27"/>
    </row>
    <row r="417" spans="1:1" ht="14.25" customHeight="1" x14ac:dyDescent="0.35">
      <c r="A417" s="27"/>
    </row>
    <row r="418" spans="1:1" ht="14.25" customHeight="1" x14ac:dyDescent="0.35">
      <c r="A418" s="27"/>
    </row>
    <row r="419" spans="1:1" ht="14.25" customHeight="1" x14ac:dyDescent="0.35">
      <c r="A419" s="27"/>
    </row>
    <row r="420" spans="1:1" ht="14.25" customHeight="1" x14ac:dyDescent="0.35">
      <c r="A420" s="27"/>
    </row>
    <row r="421" spans="1:1" ht="14.25" customHeight="1" x14ac:dyDescent="0.35">
      <c r="A421" s="27"/>
    </row>
    <row r="422" spans="1:1" ht="14.25" customHeight="1" x14ac:dyDescent="0.35">
      <c r="A422" s="27"/>
    </row>
    <row r="423" spans="1:1" ht="14.25" customHeight="1" x14ac:dyDescent="0.35">
      <c r="A423" s="27"/>
    </row>
    <row r="424" spans="1:1" ht="14.25" customHeight="1" x14ac:dyDescent="0.35">
      <c r="A424" s="27"/>
    </row>
    <row r="425" spans="1:1" ht="14.25" customHeight="1" x14ac:dyDescent="0.35">
      <c r="A425" s="27"/>
    </row>
    <row r="426" spans="1:1" ht="14.25" customHeight="1" x14ac:dyDescent="0.35">
      <c r="A426" s="27"/>
    </row>
    <row r="427" spans="1:1" ht="14.25" customHeight="1" x14ac:dyDescent="0.35">
      <c r="A427" s="27"/>
    </row>
    <row r="428" spans="1:1" ht="14.25" customHeight="1" x14ac:dyDescent="0.35">
      <c r="A428" s="27"/>
    </row>
    <row r="429" spans="1:1" ht="14.25" customHeight="1" x14ac:dyDescent="0.35">
      <c r="A429" s="27"/>
    </row>
    <row r="430" spans="1:1" ht="14.25" customHeight="1" x14ac:dyDescent="0.35">
      <c r="A430" s="27"/>
    </row>
    <row r="431" spans="1:1" ht="14.25" customHeight="1" x14ac:dyDescent="0.35">
      <c r="A431" s="27"/>
    </row>
    <row r="432" spans="1:1" ht="14.25" customHeight="1" x14ac:dyDescent="0.35">
      <c r="A432" s="27"/>
    </row>
    <row r="433" spans="1:1" ht="14.25" customHeight="1" x14ac:dyDescent="0.35">
      <c r="A433" s="27"/>
    </row>
    <row r="434" spans="1:1" ht="14.25" customHeight="1" x14ac:dyDescent="0.35">
      <c r="A434" s="27"/>
    </row>
    <row r="435" spans="1:1" ht="14.25" customHeight="1" x14ac:dyDescent="0.35">
      <c r="A435" s="27"/>
    </row>
    <row r="436" spans="1:1" ht="14.25" customHeight="1" x14ac:dyDescent="0.35">
      <c r="A436" s="27"/>
    </row>
    <row r="437" spans="1:1" ht="14.25" customHeight="1" x14ac:dyDescent="0.35">
      <c r="A437" s="27"/>
    </row>
    <row r="438" spans="1:1" ht="14.25" customHeight="1" x14ac:dyDescent="0.35">
      <c r="A438" s="27"/>
    </row>
    <row r="439" spans="1:1" ht="14.25" customHeight="1" x14ac:dyDescent="0.35">
      <c r="A439" s="27"/>
    </row>
    <row r="440" spans="1:1" ht="14.25" customHeight="1" x14ac:dyDescent="0.35">
      <c r="A440" s="27"/>
    </row>
    <row r="441" spans="1:1" ht="14.25" customHeight="1" x14ac:dyDescent="0.35">
      <c r="A441" s="27"/>
    </row>
    <row r="442" spans="1:1" ht="14.25" customHeight="1" x14ac:dyDescent="0.35">
      <c r="A442" s="27"/>
    </row>
    <row r="443" spans="1:1" ht="14.25" customHeight="1" x14ac:dyDescent="0.35">
      <c r="A443" s="27"/>
    </row>
    <row r="444" spans="1:1" ht="14.25" customHeight="1" x14ac:dyDescent="0.35">
      <c r="A444" s="27"/>
    </row>
    <row r="445" spans="1:1" ht="14.25" customHeight="1" x14ac:dyDescent="0.35">
      <c r="A445" s="27"/>
    </row>
    <row r="446" spans="1:1" ht="14.25" customHeight="1" x14ac:dyDescent="0.35">
      <c r="A446" s="27"/>
    </row>
    <row r="447" spans="1:1" ht="14.25" customHeight="1" x14ac:dyDescent="0.35">
      <c r="A447" s="27"/>
    </row>
    <row r="448" spans="1:1" ht="14.25" customHeight="1" x14ac:dyDescent="0.35">
      <c r="A448" s="27"/>
    </row>
    <row r="449" spans="1:1" ht="14.25" customHeight="1" x14ac:dyDescent="0.35">
      <c r="A449" s="27"/>
    </row>
    <row r="450" spans="1:1" ht="14.25" customHeight="1" x14ac:dyDescent="0.35">
      <c r="A450" s="27"/>
    </row>
    <row r="451" spans="1:1" ht="14.25" customHeight="1" x14ac:dyDescent="0.35">
      <c r="A451" s="27"/>
    </row>
    <row r="452" spans="1:1" ht="14.25" customHeight="1" x14ac:dyDescent="0.35">
      <c r="A452" s="27"/>
    </row>
    <row r="453" spans="1:1" ht="14.25" customHeight="1" x14ac:dyDescent="0.35">
      <c r="A453" s="27"/>
    </row>
    <row r="454" spans="1:1" ht="14.25" customHeight="1" x14ac:dyDescent="0.35">
      <c r="A454" s="27"/>
    </row>
    <row r="455" spans="1:1" ht="14.25" customHeight="1" x14ac:dyDescent="0.35">
      <c r="A455" s="27"/>
    </row>
    <row r="456" spans="1:1" ht="14.25" customHeight="1" x14ac:dyDescent="0.35">
      <c r="A456" s="27"/>
    </row>
    <row r="457" spans="1:1" ht="14.25" customHeight="1" x14ac:dyDescent="0.35">
      <c r="A457" s="27"/>
    </row>
    <row r="458" spans="1:1" ht="14.25" customHeight="1" x14ac:dyDescent="0.35">
      <c r="A458" s="27"/>
    </row>
    <row r="459" spans="1:1" ht="14.25" customHeight="1" x14ac:dyDescent="0.35">
      <c r="A459" s="27"/>
    </row>
    <row r="460" spans="1:1" ht="14.25" customHeight="1" x14ac:dyDescent="0.35">
      <c r="A460" s="27"/>
    </row>
    <row r="461" spans="1:1" ht="14.25" customHeight="1" x14ac:dyDescent="0.35">
      <c r="A461" s="27"/>
    </row>
    <row r="462" spans="1:1" ht="14.25" customHeight="1" x14ac:dyDescent="0.35">
      <c r="A462" s="27"/>
    </row>
    <row r="463" spans="1:1" ht="14.25" customHeight="1" x14ac:dyDescent="0.35">
      <c r="A463" s="27"/>
    </row>
    <row r="464" spans="1:1" ht="14.25" customHeight="1" x14ac:dyDescent="0.35">
      <c r="A464" s="27"/>
    </row>
    <row r="465" spans="1:1" ht="14.25" customHeight="1" x14ac:dyDescent="0.35">
      <c r="A465" s="27"/>
    </row>
    <row r="466" spans="1:1" ht="14.25" customHeight="1" x14ac:dyDescent="0.35">
      <c r="A466" s="27"/>
    </row>
    <row r="467" spans="1:1" ht="14.25" customHeight="1" x14ac:dyDescent="0.35">
      <c r="A467" s="27"/>
    </row>
    <row r="468" spans="1:1" ht="14.25" customHeight="1" x14ac:dyDescent="0.35">
      <c r="A468" s="27"/>
    </row>
    <row r="469" spans="1:1" ht="14.25" customHeight="1" x14ac:dyDescent="0.35">
      <c r="A469" s="27"/>
    </row>
    <row r="470" spans="1:1" ht="14.25" customHeight="1" x14ac:dyDescent="0.35">
      <c r="A470" s="27"/>
    </row>
    <row r="471" spans="1:1" ht="14.25" customHeight="1" x14ac:dyDescent="0.35">
      <c r="A471" s="27"/>
    </row>
    <row r="472" spans="1:1" ht="14.25" customHeight="1" x14ac:dyDescent="0.35">
      <c r="A472" s="27"/>
    </row>
    <row r="473" spans="1:1" ht="14.25" customHeight="1" x14ac:dyDescent="0.35">
      <c r="A473" s="27"/>
    </row>
    <row r="474" spans="1:1" ht="14.25" customHeight="1" x14ac:dyDescent="0.35">
      <c r="A474" s="27"/>
    </row>
    <row r="475" spans="1:1" ht="14.25" customHeight="1" x14ac:dyDescent="0.35">
      <c r="A475" s="27"/>
    </row>
    <row r="476" spans="1:1" ht="14.25" customHeight="1" x14ac:dyDescent="0.35">
      <c r="A476" s="27"/>
    </row>
    <row r="477" spans="1:1" ht="14.25" customHeight="1" x14ac:dyDescent="0.35">
      <c r="A477" s="27"/>
    </row>
    <row r="478" spans="1:1" ht="14.25" customHeight="1" x14ac:dyDescent="0.35">
      <c r="A478" s="27"/>
    </row>
    <row r="479" spans="1:1" ht="14.25" customHeight="1" x14ac:dyDescent="0.35">
      <c r="A479" s="27"/>
    </row>
    <row r="480" spans="1:1" ht="14.25" customHeight="1" x14ac:dyDescent="0.35">
      <c r="A480" s="27"/>
    </row>
    <row r="481" spans="1:1" ht="14.25" customHeight="1" x14ac:dyDescent="0.35">
      <c r="A481" s="27"/>
    </row>
    <row r="482" spans="1:1" ht="14.25" customHeight="1" x14ac:dyDescent="0.35">
      <c r="A482" s="27"/>
    </row>
    <row r="483" spans="1:1" ht="14.25" customHeight="1" x14ac:dyDescent="0.35">
      <c r="A483" s="27"/>
    </row>
    <row r="484" spans="1:1" ht="14.25" customHeight="1" x14ac:dyDescent="0.35">
      <c r="A484" s="27"/>
    </row>
    <row r="485" spans="1:1" ht="14.25" customHeight="1" x14ac:dyDescent="0.35">
      <c r="A485" s="27"/>
    </row>
    <row r="486" spans="1:1" ht="14.25" customHeight="1" x14ac:dyDescent="0.35">
      <c r="A486" s="27"/>
    </row>
    <row r="487" spans="1:1" ht="14.25" customHeight="1" x14ac:dyDescent="0.35">
      <c r="A487" s="27"/>
    </row>
    <row r="488" spans="1:1" ht="14.25" customHeight="1" x14ac:dyDescent="0.35">
      <c r="A488" s="27"/>
    </row>
    <row r="489" spans="1:1" ht="14.25" customHeight="1" x14ac:dyDescent="0.35">
      <c r="A489" s="27"/>
    </row>
    <row r="490" spans="1:1" ht="14.25" customHeight="1" x14ac:dyDescent="0.35">
      <c r="A490" s="27"/>
    </row>
    <row r="491" spans="1:1" ht="14.25" customHeight="1" x14ac:dyDescent="0.35">
      <c r="A491" s="27"/>
    </row>
    <row r="492" spans="1:1" ht="14.25" customHeight="1" x14ac:dyDescent="0.35">
      <c r="A492" s="27"/>
    </row>
    <row r="493" spans="1:1" ht="14.25" customHeight="1" x14ac:dyDescent="0.35">
      <c r="A493" s="27"/>
    </row>
    <row r="494" spans="1:1" ht="14.25" customHeight="1" x14ac:dyDescent="0.35">
      <c r="A494" s="27"/>
    </row>
    <row r="495" spans="1:1" ht="14.25" customHeight="1" x14ac:dyDescent="0.35">
      <c r="A495" s="27"/>
    </row>
    <row r="496" spans="1:1" ht="14.25" customHeight="1" x14ac:dyDescent="0.35">
      <c r="A496" s="27"/>
    </row>
    <row r="497" spans="1:1" ht="14.25" customHeight="1" x14ac:dyDescent="0.35">
      <c r="A497" s="27"/>
    </row>
    <row r="498" spans="1:1" ht="14.25" customHeight="1" x14ac:dyDescent="0.35">
      <c r="A498" s="27"/>
    </row>
    <row r="499" spans="1:1" ht="14.25" customHeight="1" x14ac:dyDescent="0.35">
      <c r="A499" s="27"/>
    </row>
    <row r="500" spans="1:1" ht="14.25" customHeight="1" x14ac:dyDescent="0.35">
      <c r="A500" s="27"/>
    </row>
    <row r="501" spans="1:1" ht="14.25" customHeight="1" x14ac:dyDescent="0.35">
      <c r="A501" s="27"/>
    </row>
    <row r="502" spans="1:1" ht="14.25" customHeight="1" x14ac:dyDescent="0.35">
      <c r="A502" s="27"/>
    </row>
    <row r="503" spans="1:1" ht="14.25" customHeight="1" x14ac:dyDescent="0.35">
      <c r="A503" s="27"/>
    </row>
    <row r="504" spans="1:1" ht="14.25" customHeight="1" x14ac:dyDescent="0.35">
      <c r="A504" s="27"/>
    </row>
    <row r="505" spans="1:1" ht="14.25" customHeight="1" x14ac:dyDescent="0.35">
      <c r="A505" s="27"/>
    </row>
    <row r="506" spans="1:1" ht="14.25" customHeight="1" x14ac:dyDescent="0.35">
      <c r="A506" s="27"/>
    </row>
    <row r="507" spans="1:1" ht="14.25" customHeight="1" x14ac:dyDescent="0.35">
      <c r="A507" s="27"/>
    </row>
    <row r="508" spans="1:1" ht="14.25" customHeight="1" x14ac:dyDescent="0.35">
      <c r="A508" s="27"/>
    </row>
    <row r="509" spans="1:1" ht="14.25" customHeight="1" x14ac:dyDescent="0.35">
      <c r="A509" s="27"/>
    </row>
    <row r="510" spans="1:1" ht="14.25" customHeight="1" x14ac:dyDescent="0.35">
      <c r="A510" s="27"/>
    </row>
    <row r="511" spans="1:1" ht="14.25" customHeight="1" x14ac:dyDescent="0.35">
      <c r="A511" s="27"/>
    </row>
    <row r="512" spans="1:1" ht="14.25" customHeight="1" x14ac:dyDescent="0.35">
      <c r="A512" s="27"/>
    </row>
    <row r="513" spans="1:1" ht="14.25" customHeight="1" x14ac:dyDescent="0.35">
      <c r="A513" s="27"/>
    </row>
    <row r="514" spans="1:1" ht="14.25" customHeight="1" x14ac:dyDescent="0.35">
      <c r="A514" s="27"/>
    </row>
    <row r="515" spans="1:1" ht="14.25" customHeight="1" x14ac:dyDescent="0.35">
      <c r="A515" s="27"/>
    </row>
    <row r="516" spans="1:1" ht="14.25" customHeight="1" x14ac:dyDescent="0.35">
      <c r="A516" s="27"/>
    </row>
    <row r="517" spans="1:1" ht="14.25" customHeight="1" x14ac:dyDescent="0.35">
      <c r="A517" s="27"/>
    </row>
    <row r="518" spans="1:1" ht="14.25" customHeight="1" x14ac:dyDescent="0.35">
      <c r="A518" s="27"/>
    </row>
    <row r="519" spans="1:1" ht="14.25" customHeight="1" x14ac:dyDescent="0.35">
      <c r="A519" s="27"/>
    </row>
    <row r="520" spans="1:1" ht="14.25" customHeight="1" x14ac:dyDescent="0.35">
      <c r="A520" s="27"/>
    </row>
    <row r="521" spans="1:1" ht="14.25" customHeight="1" x14ac:dyDescent="0.35">
      <c r="A521" s="27"/>
    </row>
    <row r="522" spans="1:1" ht="14.25" customHeight="1" x14ac:dyDescent="0.35">
      <c r="A522" s="27"/>
    </row>
    <row r="523" spans="1:1" ht="14.25" customHeight="1" x14ac:dyDescent="0.35">
      <c r="A523" s="27"/>
    </row>
    <row r="524" spans="1:1" ht="14.25" customHeight="1" x14ac:dyDescent="0.35">
      <c r="A524" s="27"/>
    </row>
    <row r="525" spans="1:1" ht="14.25" customHeight="1" x14ac:dyDescent="0.35">
      <c r="A525" s="27"/>
    </row>
    <row r="526" spans="1:1" ht="14.25" customHeight="1" x14ac:dyDescent="0.35">
      <c r="A526" s="27"/>
    </row>
    <row r="527" spans="1:1" ht="14.25" customHeight="1" x14ac:dyDescent="0.35">
      <c r="A527" s="27"/>
    </row>
    <row r="528" spans="1:1" ht="14.25" customHeight="1" x14ac:dyDescent="0.35">
      <c r="A528" s="27"/>
    </row>
    <row r="529" spans="1:1" ht="14.25" customHeight="1" x14ac:dyDescent="0.35">
      <c r="A529" s="27"/>
    </row>
    <row r="530" spans="1:1" ht="14.25" customHeight="1" x14ac:dyDescent="0.35">
      <c r="A530" s="27"/>
    </row>
    <row r="531" spans="1:1" ht="14.25" customHeight="1" x14ac:dyDescent="0.35">
      <c r="A531" s="27"/>
    </row>
    <row r="532" spans="1:1" ht="14.25" customHeight="1" x14ac:dyDescent="0.35">
      <c r="A532" s="27"/>
    </row>
    <row r="533" spans="1:1" ht="14.25" customHeight="1" x14ac:dyDescent="0.35">
      <c r="A533" s="27"/>
    </row>
    <row r="534" spans="1:1" ht="14.25" customHeight="1" x14ac:dyDescent="0.35">
      <c r="A534" s="27"/>
    </row>
    <row r="535" spans="1:1" ht="14.25" customHeight="1" x14ac:dyDescent="0.35">
      <c r="A535" s="27"/>
    </row>
    <row r="536" spans="1:1" ht="14.25" customHeight="1" x14ac:dyDescent="0.35">
      <c r="A536" s="27"/>
    </row>
    <row r="537" spans="1:1" ht="14.25" customHeight="1" x14ac:dyDescent="0.35">
      <c r="A537" s="27"/>
    </row>
    <row r="538" spans="1:1" ht="14.25" customHeight="1" x14ac:dyDescent="0.35">
      <c r="A538" s="27"/>
    </row>
    <row r="539" spans="1:1" ht="14.25" customHeight="1" x14ac:dyDescent="0.35">
      <c r="A539" s="27"/>
    </row>
    <row r="540" spans="1:1" ht="14.25" customHeight="1" x14ac:dyDescent="0.35">
      <c r="A540" s="27"/>
    </row>
    <row r="541" spans="1:1" ht="14.25" customHeight="1" x14ac:dyDescent="0.35">
      <c r="A541" s="27"/>
    </row>
    <row r="542" spans="1:1" ht="14.25" customHeight="1" x14ac:dyDescent="0.35">
      <c r="A542" s="27"/>
    </row>
    <row r="543" spans="1:1" ht="14.25" customHeight="1" x14ac:dyDescent="0.35">
      <c r="A543" s="27"/>
    </row>
    <row r="544" spans="1:1" ht="14.25" customHeight="1" x14ac:dyDescent="0.35">
      <c r="A544" s="27"/>
    </row>
    <row r="545" spans="1:1" ht="14.25" customHeight="1" x14ac:dyDescent="0.35">
      <c r="A545" s="27"/>
    </row>
    <row r="546" spans="1:1" ht="14.25" customHeight="1" x14ac:dyDescent="0.35">
      <c r="A546" s="27"/>
    </row>
    <row r="547" spans="1:1" ht="14.25" customHeight="1" x14ac:dyDescent="0.35">
      <c r="A547" s="27"/>
    </row>
    <row r="548" spans="1:1" ht="14.25" customHeight="1" x14ac:dyDescent="0.35">
      <c r="A548" s="27"/>
    </row>
    <row r="549" spans="1:1" ht="14.25" customHeight="1" x14ac:dyDescent="0.35">
      <c r="A549" s="27"/>
    </row>
    <row r="550" spans="1:1" ht="14.25" customHeight="1" x14ac:dyDescent="0.35">
      <c r="A550" s="27"/>
    </row>
    <row r="551" spans="1:1" ht="14.25" customHeight="1" x14ac:dyDescent="0.35">
      <c r="A551" s="27"/>
    </row>
    <row r="552" spans="1:1" ht="14.25" customHeight="1" x14ac:dyDescent="0.35">
      <c r="A552" s="27"/>
    </row>
    <row r="553" spans="1:1" ht="14.25" customHeight="1" x14ac:dyDescent="0.35">
      <c r="A553" s="27"/>
    </row>
    <row r="554" spans="1:1" ht="14.25" customHeight="1" x14ac:dyDescent="0.35">
      <c r="A554" s="27"/>
    </row>
    <row r="555" spans="1:1" ht="14.25" customHeight="1" x14ac:dyDescent="0.35">
      <c r="A555" s="27"/>
    </row>
    <row r="556" spans="1:1" ht="14.25" customHeight="1" x14ac:dyDescent="0.35">
      <c r="A556" s="27"/>
    </row>
    <row r="557" spans="1:1" ht="14.25" customHeight="1" x14ac:dyDescent="0.35">
      <c r="A557" s="27"/>
    </row>
    <row r="558" spans="1:1" ht="14.25" customHeight="1" x14ac:dyDescent="0.35">
      <c r="A558" s="27"/>
    </row>
    <row r="559" spans="1:1" ht="14.25" customHeight="1" x14ac:dyDescent="0.35">
      <c r="A559" s="27"/>
    </row>
    <row r="560" spans="1:1" ht="14.25" customHeight="1" x14ac:dyDescent="0.35">
      <c r="A560" s="27"/>
    </row>
    <row r="561" spans="1:1" ht="14.25" customHeight="1" x14ac:dyDescent="0.35">
      <c r="A561" s="27"/>
    </row>
    <row r="562" spans="1:1" ht="14.25" customHeight="1" x14ac:dyDescent="0.35">
      <c r="A562" s="27"/>
    </row>
    <row r="563" spans="1:1" ht="14.25" customHeight="1" x14ac:dyDescent="0.35">
      <c r="A563" s="27"/>
    </row>
    <row r="564" spans="1:1" ht="14.25" customHeight="1" x14ac:dyDescent="0.35">
      <c r="A564" s="27"/>
    </row>
    <row r="565" spans="1:1" ht="14.25" customHeight="1" x14ac:dyDescent="0.35">
      <c r="A565" s="27"/>
    </row>
    <row r="566" spans="1:1" ht="14.25" customHeight="1" x14ac:dyDescent="0.35">
      <c r="A566" s="27"/>
    </row>
    <row r="567" spans="1:1" ht="14.25" customHeight="1" x14ac:dyDescent="0.35">
      <c r="A567" s="27"/>
    </row>
    <row r="568" spans="1:1" ht="14.25" customHeight="1" x14ac:dyDescent="0.35">
      <c r="A568" s="27"/>
    </row>
    <row r="569" spans="1:1" ht="14.25" customHeight="1" x14ac:dyDescent="0.35">
      <c r="A569" s="27"/>
    </row>
    <row r="570" spans="1:1" ht="14.25" customHeight="1" x14ac:dyDescent="0.35">
      <c r="A570" s="27"/>
    </row>
    <row r="571" spans="1:1" ht="14.25" customHeight="1" x14ac:dyDescent="0.35">
      <c r="A571" s="27"/>
    </row>
    <row r="572" spans="1:1" ht="14.25" customHeight="1" x14ac:dyDescent="0.35">
      <c r="A572" s="27"/>
    </row>
    <row r="573" spans="1:1" ht="14.25" customHeight="1" x14ac:dyDescent="0.35">
      <c r="A573" s="27"/>
    </row>
    <row r="574" spans="1:1" ht="14.25" customHeight="1" x14ac:dyDescent="0.35">
      <c r="A574" s="27"/>
    </row>
    <row r="575" spans="1:1" ht="14.25" customHeight="1" x14ac:dyDescent="0.35">
      <c r="A575" s="27"/>
    </row>
    <row r="576" spans="1:1" ht="14.25" customHeight="1" x14ac:dyDescent="0.35">
      <c r="A576" s="27"/>
    </row>
    <row r="577" spans="1:1" ht="14.25" customHeight="1" x14ac:dyDescent="0.35">
      <c r="A577" s="27"/>
    </row>
    <row r="578" spans="1:1" ht="14.25" customHeight="1" x14ac:dyDescent="0.35">
      <c r="A578" s="27"/>
    </row>
    <row r="579" spans="1:1" ht="14.25" customHeight="1" x14ac:dyDescent="0.35">
      <c r="A579" s="27"/>
    </row>
    <row r="580" spans="1:1" ht="14.25" customHeight="1" x14ac:dyDescent="0.35">
      <c r="A580" s="27"/>
    </row>
    <row r="581" spans="1:1" ht="14.25" customHeight="1" x14ac:dyDescent="0.35">
      <c r="A581" s="27"/>
    </row>
    <row r="582" spans="1:1" ht="14.25" customHeight="1" x14ac:dyDescent="0.35">
      <c r="A582" s="27"/>
    </row>
    <row r="583" spans="1:1" ht="14.25" customHeight="1" x14ac:dyDescent="0.35">
      <c r="A583" s="27"/>
    </row>
    <row r="584" spans="1:1" ht="14.25" customHeight="1" x14ac:dyDescent="0.35">
      <c r="A584" s="27"/>
    </row>
    <row r="585" spans="1:1" ht="14.25" customHeight="1" x14ac:dyDescent="0.35">
      <c r="A585" s="27"/>
    </row>
    <row r="586" spans="1:1" ht="14.25" customHeight="1" x14ac:dyDescent="0.35">
      <c r="A586" s="27"/>
    </row>
    <row r="587" spans="1:1" ht="14.25" customHeight="1" x14ac:dyDescent="0.35">
      <c r="A587" s="27"/>
    </row>
    <row r="588" spans="1:1" ht="14.25" customHeight="1" x14ac:dyDescent="0.35">
      <c r="A588" s="27"/>
    </row>
    <row r="589" spans="1:1" ht="14.25" customHeight="1" x14ac:dyDescent="0.35">
      <c r="A589" s="27"/>
    </row>
    <row r="590" spans="1:1" ht="14.25" customHeight="1" x14ac:dyDescent="0.35">
      <c r="A590" s="27"/>
    </row>
    <row r="591" spans="1:1" ht="14.25" customHeight="1" x14ac:dyDescent="0.35">
      <c r="A591" s="27"/>
    </row>
    <row r="592" spans="1:1" ht="14.25" customHeight="1" x14ac:dyDescent="0.35">
      <c r="A592" s="27"/>
    </row>
    <row r="593" spans="1:1" ht="14.25" customHeight="1" x14ac:dyDescent="0.35">
      <c r="A593" s="27"/>
    </row>
    <row r="594" spans="1:1" ht="14.25" customHeight="1" x14ac:dyDescent="0.35">
      <c r="A594" s="27"/>
    </row>
    <row r="595" spans="1:1" ht="14.25" customHeight="1" x14ac:dyDescent="0.35">
      <c r="A595" s="27"/>
    </row>
    <row r="596" spans="1:1" ht="14.25" customHeight="1" x14ac:dyDescent="0.35">
      <c r="A596" s="27"/>
    </row>
    <row r="597" spans="1:1" ht="14.25" customHeight="1" x14ac:dyDescent="0.35">
      <c r="A597" s="27"/>
    </row>
    <row r="598" spans="1:1" ht="14.25" customHeight="1" x14ac:dyDescent="0.35">
      <c r="A598" s="27"/>
    </row>
    <row r="599" spans="1:1" ht="14.25" customHeight="1" x14ac:dyDescent="0.35">
      <c r="A599" s="27"/>
    </row>
    <row r="600" spans="1:1" ht="14.25" customHeight="1" x14ac:dyDescent="0.35">
      <c r="A600" s="27"/>
    </row>
    <row r="601" spans="1:1" ht="14.25" customHeight="1" x14ac:dyDescent="0.35">
      <c r="A601" s="27"/>
    </row>
    <row r="602" spans="1:1" ht="14.25" customHeight="1" x14ac:dyDescent="0.35">
      <c r="A602" s="27"/>
    </row>
    <row r="603" spans="1:1" ht="14.25" customHeight="1" x14ac:dyDescent="0.35">
      <c r="A603" s="27"/>
    </row>
    <row r="604" spans="1:1" ht="14.25" customHeight="1" x14ac:dyDescent="0.35">
      <c r="A604" s="27"/>
    </row>
    <row r="605" spans="1:1" ht="14.25" customHeight="1" x14ac:dyDescent="0.35">
      <c r="A605" s="27"/>
    </row>
    <row r="606" spans="1:1" ht="14.25" customHeight="1" x14ac:dyDescent="0.35">
      <c r="A606" s="27"/>
    </row>
    <row r="607" spans="1:1" ht="14.25" customHeight="1" x14ac:dyDescent="0.35">
      <c r="A607" s="27"/>
    </row>
    <row r="608" spans="1:1" ht="14.25" customHeight="1" x14ac:dyDescent="0.35">
      <c r="A608" s="27"/>
    </row>
    <row r="609" spans="1:1" ht="14.25" customHeight="1" x14ac:dyDescent="0.35">
      <c r="A609" s="27"/>
    </row>
    <row r="610" spans="1:1" ht="14.25" customHeight="1" x14ac:dyDescent="0.35">
      <c r="A610" s="27"/>
    </row>
    <row r="611" spans="1:1" ht="14.25" customHeight="1" x14ac:dyDescent="0.35">
      <c r="A611" s="27"/>
    </row>
    <row r="612" spans="1:1" ht="14.25" customHeight="1" x14ac:dyDescent="0.35">
      <c r="A612" s="27"/>
    </row>
    <row r="613" spans="1:1" ht="14.25" customHeight="1" x14ac:dyDescent="0.35">
      <c r="A613" s="27"/>
    </row>
    <row r="614" spans="1:1" ht="14.25" customHeight="1" x14ac:dyDescent="0.35">
      <c r="A614" s="27"/>
    </row>
    <row r="615" spans="1:1" ht="14.25" customHeight="1" x14ac:dyDescent="0.35">
      <c r="A615" s="27"/>
    </row>
    <row r="616" spans="1:1" ht="14.25" customHeight="1" x14ac:dyDescent="0.35">
      <c r="A616" s="27"/>
    </row>
    <row r="617" spans="1:1" ht="14.25" customHeight="1" x14ac:dyDescent="0.35">
      <c r="A617" s="27"/>
    </row>
    <row r="618" spans="1:1" ht="14.25" customHeight="1" x14ac:dyDescent="0.35">
      <c r="A618" s="27"/>
    </row>
    <row r="619" spans="1:1" ht="14.25" customHeight="1" x14ac:dyDescent="0.35">
      <c r="A619" s="27"/>
    </row>
    <row r="620" spans="1:1" ht="14.25" customHeight="1" x14ac:dyDescent="0.35">
      <c r="A620" s="27"/>
    </row>
    <row r="621" spans="1:1" ht="14.25" customHeight="1" x14ac:dyDescent="0.35">
      <c r="A621" s="27"/>
    </row>
    <row r="622" spans="1:1" ht="14.25" customHeight="1" x14ac:dyDescent="0.35">
      <c r="A622" s="27"/>
    </row>
    <row r="623" spans="1:1" ht="14.25" customHeight="1" x14ac:dyDescent="0.35">
      <c r="A623" s="27"/>
    </row>
    <row r="624" spans="1:1" ht="14.25" customHeight="1" x14ac:dyDescent="0.35">
      <c r="A624" s="27"/>
    </row>
    <row r="625" spans="1:1" ht="14.25" customHeight="1" x14ac:dyDescent="0.35">
      <c r="A625" s="27"/>
    </row>
    <row r="626" spans="1:1" ht="14.25" customHeight="1" x14ac:dyDescent="0.35">
      <c r="A626" s="27"/>
    </row>
    <row r="627" spans="1:1" ht="14.25" customHeight="1" x14ac:dyDescent="0.35">
      <c r="A627" s="27"/>
    </row>
    <row r="628" spans="1:1" ht="14.25" customHeight="1" x14ac:dyDescent="0.35">
      <c r="A628" s="27"/>
    </row>
    <row r="629" spans="1:1" ht="14.25" customHeight="1" x14ac:dyDescent="0.35">
      <c r="A629" s="27"/>
    </row>
    <row r="630" spans="1:1" ht="14.25" customHeight="1" x14ac:dyDescent="0.35">
      <c r="A630" s="27"/>
    </row>
    <row r="631" spans="1:1" ht="14.25" customHeight="1" x14ac:dyDescent="0.35">
      <c r="A631" s="27"/>
    </row>
    <row r="632" spans="1:1" ht="14.25" customHeight="1" x14ac:dyDescent="0.35">
      <c r="A632" s="27"/>
    </row>
    <row r="633" spans="1:1" ht="14.25" customHeight="1" x14ac:dyDescent="0.35">
      <c r="A633" s="27"/>
    </row>
    <row r="634" spans="1:1" ht="14.25" customHeight="1" x14ac:dyDescent="0.35">
      <c r="A634" s="27"/>
    </row>
    <row r="635" spans="1:1" ht="14.25" customHeight="1" x14ac:dyDescent="0.35">
      <c r="A635" s="27"/>
    </row>
    <row r="636" spans="1:1" ht="14.25" customHeight="1" x14ac:dyDescent="0.35">
      <c r="A636" s="27"/>
    </row>
    <row r="637" spans="1:1" ht="14.25" customHeight="1" x14ac:dyDescent="0.35">
      <c r="A637" s="27"/>
    </row>
    <row r="638" spans="1:1" ht="14.25" customHeight="1" x14ac:dyDescent="0.35">
      <c r="A638" s="27"/>
    </row>
    <row r="639" spans="1:1" ht="14.25" customHeight="1" x14ac:dyDescent="0.35">
      <c r="A639" s="27"/>
    </row>
    <row r="640" spans="1:1" ht="14.25" customHeight="1" x14ac:dyDescent="0.35">
      <c r="A640" s="27"/>
    </row>
    <row r="641" spans="1:1" ht="14.25" customHeight="1" x14ac:dyDescent="0.35">
      <c r="A641" s="27"/>
    </row>
    <row r="642" spans="1:1" ht="14.25" customHeight="1" x14ac:dyDescent="0.35">
      <c r="A642" s="27"/>
    </row>
    <row r="643" spans="1:1" ht="14.25" customHeight="1" x14ac:dyDescent="0.35">
      <c r="A643" s="27"/>
    </row>
    <row r="644" spans="1:1" ht="14.25" customHeight="1" x14ac:dyDescent="0.35">
      <c r="A644" s="27"/>
    </row>
    <row r="645" spans="1:1" ht="14.25" customHeight="1" x14ac:dyDescent="0.35">
      <c r="A645" s="27"/>
    </row>
    <row r="646" spans="1:1" ht="14.25" customHeight="1" x14ac:dyDescent="0.35">
      <c r="A646" s="27"/>
    </row>
    <row r="647" spans="1:1" ht="14.25" customHeight="1" x14ac:dyDescent="0.35">
      <c r="A647" s="27"/>
    </row>
    <row r="648" spans="1:1" ht="14.25" customHeight="1" x14ac:dyDescent="0.35">
      <c r="A648" s="27"/>
    </row>
    <row r="649" spans="1:1" ht="14.25" customHeight="1" x14ac:dyDescent="0.35">
      <c r="A649" s="27"/>
    </row>
    <row r="650" spans="1:1" ht="14.25" customHeight="1" x14ac:dyDescent="0.35">
      <c r="A650" s="27"/>
    </row>
    <row r="651" spans="1:1" ht="14.25" customHeight="1" x14ac:dyDescent="0.35">
      <c r="A651" s="27"/>
    </row>
    <row r="652" spans="1:1" ht="14.25" customHeight="1" x14ac:dyDescent="0.35">
      <c r="A652" s="27"/>
    </row>
    <row r="653" spans="1:1" ht="14.25" customHeight="1" x14ac:dyDescent="0.35">
      <c r="A653" s="27"/>
    </row>
    <row r="654" spans="1:1" ht="14.25" customHeight="1" x14ac:dyDescent="0.35">
      <c r="A654" s="27"/>
    </row>
    <row r="655" spans="1:1" ht="14.25" customHeight="1" x14ac:dyDescent="0.35">
      <c r="A655" s="27"/>
    </row>
    <row r="656" spans="1:1" ht="14.25" customHeight="1" x14ac:dyDescent="0.35">
      <c r="A656" s="27"/>
    </row>
    <row r="657" spans="1:1" ht="14.25" customHeight="1" x14ac:dyDescent="0.35">
      <c r="A657" s="27"/>
    </row>
    <row r="658" spans="1:1" ht="14.25" customHeight="1" x14ac:dyDescent="0.35">
      <c r="A658" s="27"/>
    </row>
    <row r="659" spans="1:1" ht="14.25" customHeight="1" x14ac:dyDescent="0.35">
      <c r="A659" s="27"/>
    </row>
    <row r="660" spans="1:1" ht="14.25" customHeight="1" x14ac:dyDescent="0.35">
      <c r="A660" s="27"/>
    </row>
    <row r="661" spans="1:1" ht="14.25" customHeight="1" x14ac:dyDescent="0.35">
      <c r="A661" s="27"/>
    </row>
    <row r="662" spans="1:1" ht="14.25" customHeight="1" x14ac:dyDescent="0.35">
      <c r="A662" s="27"/>
    </row>
    <row r="663" spans="1:1" ht="14.25" customHeight="1" x14ac:dyDescent="0.35">
      <c r="A663" s="27"/>
    </row>
    <row r="664" spans="1:1" ht="14.25" customHeight="1" x14ac:dyDescent="0.35">
      <c r="A664" s="27"/>
    </row>
    <row r="665" spans="1:1" ht="14.25" customHeight="1" x14ac:dyDescent="0.35">
      <c r="A665" s="27"/>
    </row>
    <row r="666" spans="1:1" ht="14.25" customHeight="1" x14ac:dyDescent="0.35">
      <c r="A666" s="27"/>
    </row>
    <row r="667" spans="1:1" ht="14.25" customHeight="1" x14ac:dyDescent="0.35">
      <c r="A667" s="27"/>
    </row>
    <row r="668" spans="1:1" ht="14.25" customHeight="1" x14ac:dyDescent="0.35">
      <c r="A668" s="27"/>
    </row>
    <row r="669" spans="1:1" ht="14.25" customHeight="1" x14ac:dyDescent="0.35">
      <c r="A669" s="27"/>
    </row>
    <row r="670" spans="1:1" ht="14.25" customHeight="1" x14ac:dyDescent="0.35">
      <c r="A670" s="27"/>
    </row>
    <row r="671" spans="1:1" ht="14.25" customHeight="1" x14ac:dyDescent="0.35">
      <c r="A671" s="27"/>
    </row>
    <row r="672" spans="1:1" ht="14.25" customHeight="1" x14ac:dyDescent="0.35">
      <c r="A672" s="27"/>
    </row>
    <row r="673" spans="1:1" ht="14.25" customHeight="1" x14ac:dyDescent="0.35">
      <c r="A673" s="27"/>
    </row>
    <row r="674" spans="1:1" ht="14.25" customHeight="1" x14ac:dyDescent="0.35">
      <c r="A674" s="27"/>
    </row>
    <row r="675" spans="1:1" ht="14.25" customHeight="1" x14ac:dyDescent="0.35">
      <c r="A675" s="27"/>
    </row>
    <row r="676" spans="1:1" ht="14.25" customHeight="1" x14ac:dyDescent="0.35">
      <c r="A676" s="27"/>
    </row>
    <row r="677" spans="1:1" ht="14.25" customHeight="1" x14ac:dyDescent="0.35">
      <c r="A677" s="27"/>
    </row>
    <row r="678" spans="1:1" ht="14.25" customHeight="1" x14ac:dyDescent="0.35">
      <c r="A678" s="27"/>
    </row>
    <row r="679" spans="1:1" ht="14.25" customHeight="1" x14ac:dyDescent="0.35">
      <c r="A679" s="27"/>
    </row>
    <row r="680" spans="1:1" ht="14.25" customHeight="1" x14ac:dyDescent="0.35">
      <c r="A680" s="27"/>
    </row>
    <row r="681" spans="1:1" ht="14.25" customHeight="1" x14ac:dyDescent="0.35">
      <c r="A681" s="27"/>
    </row>
    <row r="682" spans="1:1" ht="14.25" customHeight="1" x14ac:dyDescent="0.35">
      <c r="A682" s="27"/>
    </row>
    <row r="683" spans="1:1" ht="14.25" customHeight="1" x14ac:dyDescent="0.35">
      <c r="A683" s="27"/>
    </row>
    <row r="684" spans="1:1" ht="14.25" customHeight="1" x14ac:dyDescent="0.35">
      <c r="A684" s="27"/>
    </row>
    <row r="685" spans="1:1" ht="14.25" customHeight="1" x14ac:dyDescent="0.35">
      <c r="A685" s="27"/>
    </row>
    <row r="686" spans="1:1" ht="14.25" customHeight="1" x14ac:dyDescent="0.35">
      <c r="A686" s="27"/>
    </row>
    <row r="687" spans="1:1" ht="14.25" customHeight="1" x14ac:dyDescent="0.35">
      <c r="A687" s="27"/>
    </row>
    <row r="688" spans="1:1" ht="14.25" customHeight="1" x14ac:dyDescent="0.35">
      <c r="A688" s="27"/>
    </row>
    <row r="689" spans="1:1" ht="14.25" customHeight="1" x14ac:dyDescent="0.35">
      <c r="A689" s="27"/>
    </row>
    <row r="690" spans="1:1" ht="14.25" customHeight="1" x14ac:dyDescent="0.35">
      <c r="A690" s="27"/>
    </row>
    <row r="691" spans="1:1" ht="14.25" customHeight="1" x14ac:dyDescent="0.35">
      <c r="A691" s="27"/>
    </row>
    <row r="692" spans="1:1" ht="14.25" customHeight="1" x14ac:dyDescent="0.35">
      <c r="A692" s="27"/>
    </row>
    <row r="693" spans="1:1" ht="14.25" customHeight="1" x14ac:dyDescent="0.35">
      <c r="A693" s="27"/>
    </row>
    <row r="694" spans="1:1" ht="14.25" customHeight="1" x14ac:dyDescent="0.35">
      <c r="A694" s="27"/>
    </row>
    <row r="695" spans="1:1" ht="14.25" customHeight="1" x14ac:dyDescent="0.35">
      <c r="A695" s="27"/>
    </row>
    <row r="696" spans="1:1" ht="14.25" customHeight="1" x14ac:dyDescent="0.35">
      <c r="A696" s="27"/>
    </row>
    <row r="697" spans="1:1" ht="14.25" customHeight="1" x14ac:dyDescent="0.35">
      <c r="A697" s="27"/>
    </row>
    <row r="698" spans="1:1" ht="14.25" customHeight="1" x14ac:dyDescent="0.35">
      <c r="A698" s="27"/>
    </row>
    <row r="699" spans="1:1" ht="14.25" customHeight="1" x14ac:dyDescent="0.35">
      <c r="A699" s="27"/>
    </row>
    <row r="700" spans="1:1" ht="14.25" customHeight="1" x14ac:dyDescent="0.35">
      <c r="A700" s="27"/>
    </row>
    <row r="701" spans="1:1" ht="14.25" customHeight="1" x14ac:dyDescent="0.35">
      <c r="A701" s="27"/>
    </row>
    <row r="702" spans="1:1" ht="14.25" customHeight="1" x14ac:dyDescent="0.35">
      <c r="A702" s="27"/>
    </row>
    <row r="703" spans="1:1" ht="14.25" customHeight="1" x14ac:dyDescent="0.35">
      <c r="A703" s="27"/>
    </row>
    <row r="704" spans="1:1" ht="14.25" customHeight="1" x14ac:dyDescent="0.35">
      <c r="A704" s="27"/>
    </row>
    <row r="705" spans="1:1" ht="14.25" customHeight="1" x14ac:dyDescent="0.35">
      <c r="A705" s="27"/>
    </row>
    <row r="706" spans="1:1" ht="14.25" customHeight="1" x14ac:dyDescent="0.35">
      <c r="A706" s="27"/>
    </row>
    <row r="707" spans="1:1" ht="14.25" customHeight="1" x14ac:dyDescent="0.35">
      <c r="A707" s="27"/>
    </row>
    <row r="708" spans="1:1" ht="14.25" customHeight="1" x14ac:dyDescent="0.35">
      <c r="A708" s="27"/>
    </row>
    <row r="709" spans="1:1" ht="14.25" customHeight="1" x14ac:dyDescent="0.35">
      <c r="A709" s="27"/>
    </row>
    <row r="710" spans="1:1" ht="14.25" customHeight="1" x14ac:dyDescent="0.35">
      <c r="A710" s="27"/>
    </row>
    <row r="711" spans="1:1" ht="14.25" customHeight="1" x14ac:dyDescent="0.35">
      <c r="A711" s="27"/>
    </row>
    <row r="712" spans="1:1" ht="14.25" customHeight="1" x14ac:dyDescent="0.35">
      <c r="A712" s="27"/>
    </row>
    <row r="713" spans="1:1" ht="14.25" customHeight="1" x14ac:dyDescent="0.35">
      <c r="A713" s="27"/>
    </row>
    <row r="714" spans="1:1" ht="14.25" customHeight="1" x14ac:dyDescent="0.35">
      <c r="A714" s="27"/>
    </row>
    <row r="715" spans="1:1" ht="14.25" customHeight="1" x14ac:dyDescent="0.35">
      <c r="A715" s="27"/>
    </row>
    <row r="716" spans="1:1" ht="14.25" customHeight="1" x14ac:dyDescent="0.35">
      <c r="A716" s="27"/>
    </row>
    <row r="717" spans="1:1" ht="14.25" customHeight="1" x14ac:dyDescent="0.35">
      <c r="A717" s="27"/>
    </row>
    <row r="718" spans="1:1" ht="14.25" customHeight="1" x14ac:dyDescent="0.35">
      <c r="A718" s="27"/>
    </row>
    <row r="719" spans="1:1" ht="14.25" customHeight="1" x14ac:dyDescent="0.35">
      <c r="A719" s="27"/>
    </row>
    <row r="720" spans="1:1" ht="14.25" customHeight="1" x14ac:dyDescent="0.35">
      <c r="A720" s="27"/>
    </row>
    <row r="721" spans="1:1" ht="14.25" customHeight="1" x14ac:dyDescent="0.35">
      <c r="A721" s="27"/>
    </row>
    <row r="722" spans="1:1" ht="14.25" customHeight="1" x14ac:dyDescent="0.35">
      <c r="A722" s="27"/>
    </row>
    <row r="723" spans="1:1" ht="14.25" customHeight="1" x14ac:dyDescent="0.35">
      <c r="A723" s="27"/>
    </row>
    <row r="724" spans="1:1" ht="14.25" customHeight="1" x14ac:dyDescent="0.35">
      <c r="A724" s="27"/>
    </row>
    <row r="725" spans="1:1" ht="14.25" customHeight="1" x14ac:dyDescent="0.35">
      <c r="A725" s="27"/>
    </row>
    <row r="726" spans="1:1" ht="14.25" customHeight="1" x14ac:dyDescent="0.35">
      <c r="A726" s="27"/>
    </row>
    <row r="727" spans="1:1" ht="14.25" customHeight="1" x14ac:dyDescent="0.35">
      <c r="A727" s="27"/>
    </row>
    <row r="728" spans="1:1" ht="14.25" customHeight="1" x14ac:dyDescent="0.35">
      <c r="A728" s="27"/>
    </row>
    <row r="729" spans="1:1" ht="14.25" customHeight="1" x14ac:dyDescent="0.35">
      <c r="A729" s="27"/>
    </row>
    <row r="730" spans="1:1" ht="14.25" customHeight="1" x14ac:dyDescent="0.35">
      <c r="A730" s="27"/>
    </row>
    <row r="731" spans="1:1" ht="14.25" customHeight="1" x14ac:dyDescent="0.35">
      <c r="A731" s="27"/>
    </row>
    <row r="732" spans="1:1" ht="14.25" customHeight="1" x14ac:dyDescent="0.35">
      <c r="A732" s="27"/>
    </row>
    <row r="733" spans="1:1" ht="14.25" customHeight="1" x14ac:dyDescent="0.35">
      <c r="A733" s="27"/>
    </row>
    <row r="734" spans="1:1" ht="14.25" customHeight="1" x14ac:dyDescent="0.35">
      <c r="A734" s="27"/>
    </row>
    <row r="735" spans="1:1" ht="14.25" customHeight="1" x14ac:dyDescent="0.35">
      <c r="A735" s="27"/>
    </row>
    <row r="736" spans="1:1" ht="14.25" customHeight="1" x14ac:dyDescent="0.35">
      <c r="A736" s="27"/>
    </row>
    <row r="737" spans="1:1" ht="14.25" customHeight="1" x14ac:dyDescent="0.35">
      <c r="A737" s="27"/>
    </row>
    <row r="738" spans="1:1" ht="14.25" customHeight="1" x14ac:dyDescent="0.35">
      <c r="A738" s="27"/>
    </row>
    <row r="739" spans="1:1" ht="14.25" customHeight="1" x14ac:dyDescent="0.35">
      <c r="A739" s="27"/>
    </row>
    <row r="740" spans="1:1" ht="14.25" customHeight="1" x14ac:dyDescent="0.35">
      <c r="A740" s="27"/>
    </row>
    <row r="741" spans="1:1" ht="14.25" customHeight="1" x14ac:dyDescent="0.35">
      <c r="A741" s="27"/>
    </row>
    <row r="742" spans="1:1" ht="14.25" customHeight="1" x14ac:dyDescent="0.35">
      <c r="A742" s="27"/>
    </row>
    <row r="743" spans="1:1" ht="14.25" customHeight="1" x14ac:dyDescent="0.35">
      <c r="A743" s="27"/>
    </row>
    <row r="744" spans="1:1" ht="14.25" customHeight="1" x14ac:dyDescent="0.35">
      <c r="A744" s="27"/>
    </row>
    <row r="745" spans="1:1" ht="14.25" customHeight="1" x14ac:dyDescent="0.35">
      <c r="A745" s="27"/>
    </row>
    <row r="746" spans="1:1" ht="14.25" customHeight="1" x14ac:dyDescent="0.35">
      <c r="A746" s="27"/>
    </row>
    <row r="747" spans="1:1" ht="14.25" customHeight="1" x14ac:dyDescent="0.35">
      <c r="A747" s="27"/>
    </row>
    <row r="748" spans="1:1" ht="14.25" customHeight="1" x14ac:dyDescent="0.35">
      <c r="A748" s="27"/>
    </row>
    <row r="749" spans="1:1" ht="14.25" customHeight="1" x14ac:dyDescent="0.35">
      <c r="A749" s="27"/>
    </row>
    <row r="750" spans="1:1" ht="14.25" customHeight="1" x14ac:dyDescent="0.35">
      <c r="A750" s="27"/>
    </row>
    <row r="751" spans="1:1" ht="14.25" customHeight="1" x14ac:dyDescent="0.35">
      <c r="A751" s="27"/>
    </row>
    <row r="752" spans="1:1" ht="14.25" customHeight="1" x14ac:dyDescent="0.35">
      <c r="A752" s="27"/>
    </row>
    <row r="753" spans="1:1" ht="14.25" customHeight="1" x14ac:dyDescent="0.35">
      <c r="A753" s="27"/>
    </row>
    <row r="754" spans="1:1" ht="14.25" customHeight="1" x14ac:dyDescent="0.35">
      <c r="A754" s="27"/>
    </row>
    <row r="755" spans="1:1" ht="14.25" customHeight="1" x14ac:dyDescent="0.35">
      <c r="A755" s="27"/>
    </row>
    <row r="756" spans="1:1" ht="14.25" customHeight="1" x14ac:dyDescent="0.35">
      <c r="A756" s="27"/>
    </row>
    <row r="757" spans="1:1" ht="14.25" customHeight="1" x14ac:dyDescent="0.35">
      <c r="A757" s="27"/>
    </row>
    <row r="758" spans="1:1" ht="14.25" customHeight="1" x14ac:dyDescent="0.35">
      <c r="A758" s="27"/>
    </row>
    <row r="759" spans="1:1" ht="14.25" customHeight="1" x14ac:dyDescent="0.35">
      <c r="A759" s="27"/>
    </row>
    <row r="760" spans="1:1" ht="14.25" customHeight="1" x14ac:dyDescent="0.35">
      <c r="A760" s="27"/>
    </row>
    <row r="761" spans="1:1" ht="14.25" customHeight="1" x14ac:dyDescent="0.35">
      <c r="A761" s="27"/>
    </row>
    <row r="762" spans="1:1" ht="14.25" customHeight="1" x14ac:dyDescent="0.35">
      <c r="A762" s="27"/>
    </row>
    <row r="763" spans="1:1" ht="14.25" customHeight="1" x14ac:dyDescent="0.35">
      <c r="A763" s="27"/>
    </row>
    <row r="764" spans="1:1" ht="14.25" customHeight="1" x14ac:dyDescent="0.35">
      <c r="A764" s="27"/>
    </row>
    <row r="765" spans="1:1" ht="14.25" customHeight="1" x14ac:dyDescent="0.35">
      <c r="A765" s="27"/>
    </row>
    <row r="766" spans="1:1" ht="14.25" customHeight="1" x14ac:dyDescent="0.35">
      <c r="A766" s="27"/>
    </row>
    <row r="767" spans="1:1" ht="14.25" customHeight="1" x14ac:dyDescent="0.35">
      <c r="A767" s="27"/>
    </row>
    <row r="768" spans="1:1" ht="14.25" customHeight="1" x14ac:dyDescent="0.35">
      <c r="A768" s="27"/>
    </row>
    <row r="769" spans="1:1" ht="14.25" customHeight="1" x14ac:dyDescent="0.35">
      <c r="A769" s="27"/>
    </row>
    <row r="770" spans="1:1" ht="14.25" customHeight="1" x14ac:dyDescent="0.35">
      <c r="A770" s="27"/>
    </row>
    <row r="771" spans="1:1" ht="14.25" customHeight="1" x14ac:dyDescent="0.35">
      <c r="A771" s="27"/>
    </row>
    <row r="772" spans="1:1" ht="14.25" customHeight="1" x14ac:dyDescent="0.35">
      <c r="A772" s="27"/>
    </row>
    <row r="773" spans="1:1" ht="14.25" customHeight="1" x14ac:dyDescent="0.35">
      <c r="A773" s="27"/>
    </row>
    <row r="774" spans="1:1" ht="14.25" customHeight="1" x14ac:dyDescent="0.35">
      <c r="A774" s="27"/>
    </row>
    <row r="775" spans="1:1" ht="14.25" customHeight="1" x14ac:dyDescent="0.35">
      <c r="A775" s="27"/>
    </row>
    <row r="776" spans="1:1" ht="14.25" customHeight="1" x14ac:dyDescent="0.35">
      <c r="A776" s="27"/>
    </row>
    <row r="777" spans="1:1" ht="14.25" customHeight="1" x14ac:dyDescent="0.35">
      <c r="A777" s="27"/>
    </row>
    <row r="778" spans="1:1" ht="14.25" customHeight="1" x14ac:dyDescent="0.35">
      <c r="A778" s="27"/>
    </row>
    <row r="779" spans="1:1" ht="14.25" customHeight="1" x14ac:dyDescent="0.35">
      <c r="A779" s="27"/>
    </row>
    <row r="780" spans="1:1" ht="14.25" customHeight="1" x14ac:dyDescent="0.35">
      <c r="A780" s="27"/>
    </row>
    <row r="781" spans="1:1" ht="14.25" customHeight="1" x14ac:dyDescent="0.35">
      <c r="A781" s="27"/>
    </row>
    <row r="782" spans="1:1" ht="14.25" customHeight="1" x14ac:dyDescent="0.35">
      <c r="A782" s="27"/>
    </row>
    <row r="783" spans="1:1" ht="14.25" customHeight="1" x14ac:dyDescent="0.35">
      <c r="A783" s="27"/>
    </row>
    <row r="784" spans="1:1" ht="14.25" customHeight="1" x14ac:dyDescent="0.35">
      <c r="A784" s="27"/>
    </row>
    <row r="785" spans="1:1" ht="14.25" customHeight="1" x14ac:dyDescent="0.35">
      <c r="A785" s="27"/>
    </row>
    <row r="786" spans="1:1" ht="14.25" customHeight="1" x14ac:dyDescent="0.35">
      <c r="A786" s="27"/>
    </row>
    <row r="787" spans="1:1" ht="14.25" customHeight="1" x14ac:dyDescent="0.35">
      <c r="A787" s="27"/>
    </row>
    <row r="788" spans="1:1" ht="14.25" customHeight="1" x14ac:dyDescent="0.35">
      <c r="A788" s="27"/>
    </row>
    <row r="789" spans="1:1" ht="14.25" customHeight="1" x14ac:dyDescent="0.35">
      <c r="A789" s="27"/>
    </row>
    <row r="790" spans="1:1" ht="14.25" customHeight="1" x14ac:dyDescent="0.35">
      <c r="A790" s="27"/>
    </row>
    <row r="791" spans="1:1" ht="14.25" customHeight="1" x14ac:dyDescent="0.35">
      <c r="A791" s="27"/>
    </row>
    <row r="792" spans="1:1" ht="14.25" customHeight="1" x14ac:dyDescent="0.35">
      <c r="A792" s="27"/>
    </row>
    <row r="793" spans="1:1" ht="14.25" customHeight="1" x14ac:dyDescent="0.35">
      <c r="A793" s="27"/>
    </row>
    <row r="794" spans="1:1" ht="14.25" customHeight="1" x14ac:dyDescent="0.35">
      <c r="A794" s="27"/>
    </row>
    <row r="795" spans="1:1" ht="14.25" customHeight="1" x14ac:dyDescent="0.35">
      <c r="A795" s="27"/>
    </row>
    <row r="796" spans="1:1" ht="14.25" customHeight="1" x14ac:dyDescent="0.35">
      <c r="A796" s="27"/>
    </row>
    <row r="797" spans="1:1" ht="14.25" customHeight="1" x14ac:dyDescent="0.35">
      <c r="A797" s="27"/>
    </row>
    <row r="798" spans="1:1" ht="14.25" customHeight="1" x14ac:dyDescent="0.35">
      <c r="A798" s="27"/>
    </row>
    <row r="799" spans="1:1" ht="14.25" customHeight="1" x14ac:dyDescent="0.35">
      <c r="A799" s="27"/>
    </row>
    <row r="800" spans="1:1" ht="14.25" customHeight="1" x14ac:dyDescent="0.35">
      <c r="A800" s="27"/>
    </row>
    <row r="801" spans="1:1" ht="14.25" customHeight="1" x14ac:dyDescent="0.35">
      <c r="A801" s="27"/>
    </row>
    <row r="802" spans="1:1" ht="14.25" customHeight="1" x14ac:dyDescent="0.35">
      <c r="A802" s="27"/>
    </row>
    <row r="803" spans="1:1" ht="14.25" customHeight="1" x14ac:dyDescent="0.35">
      <c r="A803" s="27"/>
    </row>
    <row r="804" spans="1:1" ht="14.25" customHeight="1" x14ac:dyDescent="0.35">
      <c r="A804" s="27"/>
    </row>
    <row r="805" spans="1:1" ht="14.25" customHeight="1" x14ac:dyDescent="0.35">
      <c r="A805" s="27"/>
    </row>
    <row r="806" spans="1:1" ht="14.25" customHeight="1" x14ac:dyDescent="0.35">
      <c r="A806" s="27"/>
    </row>
    <row r="807" spans="1:1" ht="14.25" customHeight="1" x14ac:dyDescent="0.35">
      <c r="A807" s="27"/>
    </row>
    <row r="808" spans="1:1" ht="14.25" customHeight="1" x14ac:dyDescent="0.35">
      <c r="A808" s="27"/>
    </row>
    <row r="809" spans="1:1" ht="14.25" customHeight="1" x14ac:dyDescent="0.35">
      <c r="A809" s="27"/>
    </row>
    <row r="810" spans="1:1" ht="14.25" customHeight="1" x14ac:dyDescent="0.35">
      <c r="A810" s="27"/>
    </row>
    <row r="811" spans="1:1" ht="14.25" customHeight="1" x14ac:dyDescent="0.35">
      <c r="A811" s="27"/>
    </row>
    <row r="812" spans="1:1" ht="14.25" customHeight="1" x14ac:dyDescent="0.35">
      <c r="A812" s="27"/>
    </row>
    <row r="813" spans="1:1" ht="14.25" customHeight="1" x14ac:dyDescent="0.35">
      <c r="A813" s="27"/>
    </row>
    <row r="814" spans="1:1" ht="14.25" customHeight="1" x14ac:dyDescent="0.35">
      <c r="A814" s="27"/>
    </row>
    <row r="815" spans="1:1" ht="14.25" customHeight="1" x14ac:dyDescent="0.35">
      <c r="A815" s="27"/>
    </row>
    <row r="816" spans="1:1" ht="14.25" customHeight="1" x14ac:dyDescent="0.35">
      <c r="A816" s="27"/>
    </row>
    <row r="817" spans="1:1" ht="14.25" customHeight="1" x14ac:dyDescent="0.35">
      <c r="A817" s="27"/>
    </row>
    <row r="818" spans="1:1" ht="14.25" customHeight="1" x14ac:dyDescent="0.35">
      <c r="A818" s="27"/>
    </row>
    <row r="819" spans="1:1" ht="14.25" customHeight="1" x14ac:dyDescent="0.35">
      <c r="A819" s="27"/>
    </row>
    <row r="820" spans="1:1" ht="14.25" customHeight="1" x14ac:dyDescent="0.35">
      <c r="A820" s="27"/>
    </row>
    <row r="821" spans="1:1" ht="14.25" customHeight="1" x14ac:dyDescent="0.35">
      <c r="A821" s="27"/>
    </row>
    <row r="822" spans="1:1" ht="14.25" customHeight="1" x14ac:dyDescent="0.35">
      <c r="A822" s="27"/>
    </row>
    <row r="823" spans="1:1" ht="14.25" customHeight="1" x14ac:dyDescent="0.35">
      <c r="A823" s="27"/>
    </row>
    <row r="824" spans="1:1" ht="14.25" customHeight="1" x14ac:dyDescent="0.35">
      <c r="A824" s="27"/>
    </row>
    <row r="825" spans="1:1" ht="14.25" customHeight="1" x14ac:dyDescent="0.35">
      <c r="A825" s="27"/>
    </row>
    <row r="826" spans="1:1" ht="14.25" customHeight="1" x14ac:dyDescent="0.35">
      <c r="A826" s="27"/>
    </row>
    <row r="827" spans="1:1" ht="14.25" customHeight="1" x14ac:dyDescent="0.35">
      <c r="A827" s="27"/>
    </row>
    <row r="828" spans="1:1" ht="14.25" customHeight="1" x14ac:dyDescent="0.35">
      <c r="A828" s="27"/>
    </row>
    <row r="829" spans="1:1" ht="14.25" customHeight="1" x14ac:dyDescent="0.35">
      <c r="A829" s="27"/>
    </row>
    <row r="830" spans="1:1" ht="14.25" customHeight="1" x14ac:dyDescent="0.35">
      <c r="A830" s="27"/>
    </row>
    <row r="831" spans="1:1" ht="14.25" customHeight="1" x14ac:dyDescent="0.35">
      <c r="A831" s="27"/>
    </row>
    <row r="832" spans="1:1" ht="14.25" customHeight="1" x14ac:dyDescent="0.35">
      <c r="A832" s="27"/>
    </row>
    <row r="833" spans="1:1" ht="14.25" customHeight="1" x14ac:dyDescent="0.35">
      <c r="A833" s="27"/>
    </row>
    <row r="834" spans="1:1" ht="14.25" customHeight="1" x14ac:dyDescent="0.35">
      <c r="A834" s="27"/>
    </row>
    <row r="835" spans="1:1" ht="14.25" customHeight="1" x14ac:dyDescent="0.35">
      <c r="A835" s="27"/>
    </row>
    <row r="836" spans="1:1" ht="14.25" customHeight="1" x14ac:dyDescent="0.35">
      <c r="A836" s="27"/>
    </row>
    <row r="837" spans="1:1" ht="14.25" customHeight="1" x14ac:dyDescent="0.35">
      <c r="A837" s="27"/>
    </row>
    <row r="838" spans="1:1" ht="14.25" customHeight="1" x14ac:dyDescent="0.35">
      <c r="A838" s="27"/>
    </row>
    <row r="839" spans="1:1" ht="14.25" customHeight="1" x14ac:dyDescent="0.35">
      <c r="A839" s="27"/>
    </row>
    <row r="840" spans="1:1" ht="14.25" customHeight="1" x14ac:dyDescent="0.35">
      <c r="A840" s="27"/>
    </row>
    <row r="841" spans="1:1" ht="14.25" customHeight="1" x14ac:dyDescent="0.35">
      <c r="A841" s="27"/>
    </row>
    <row r="842" spans="1:1" ht="14.25" customHeight="1" x14ac:dyDescent="0.35">
      <c r="A842" s="27"/>
    </row>
    <row r="843" spans="1:1" ht="14.25" customHeight="1" x14ac:dyDescent="0.35">
      <c r="A843" s="27"/>
    </row>
    <row r="844" spans="1:1" ht="14.25" customHeight="1" x14ac:dyDescent="0.35">
      <c r="A844" s="27"/>
    </row>
    <row r="845" spans="1:1" ht="14.25" customHeight="1" x14ac:dyDescent="0.35">
      <c r="A845" s="27"/>
    </row>
    <row r="846" spans="1:1" ht="14.25" customHeight="1" x14ac:dyDescent="0.35">
      <c r="A846" s="27"/>
    </row>
    <row r="847" spans="1:1" ht="14.25" customHeight="1" x14ac:dyDescent="0.35">
      <c r="A847" s="27"/>
    </row>
    <row r="848" spans="1:1" ht="14.25" customHeight="1" x14ac:dyDescent="0.35">
      <c r="A848" s="27"/>
    </row>
    <row r="849" spans="1:1" ht="14.25" customHeight="1" x14ac:dyDescent="0.35">
      <c r="A849" s="27"/>
    </row>
    <row r="850" spans="1:1" ht="14.25" customHeight="1" x14ac:dyDescent="0.35">
      <c r="A850" s="27"/>
    </row>
    <row r="851" spans="1:1" ht="14.25" customHeight="1" x14ac:dyDescent="0.35">
      <c r="A851" s="27"/>
    </row>
    <row r="852" spans="1:1" ht="14.25" customHeight="1" x14ac:dyDescent="0.35">
      <c r="A852" s="27"/>
    </row>
    <row r="853" spans="1:1" ht="14.25" customHeight="1" x14ac:dyDescent="0.35">
      <c r="A853" s="27"/>
    </row>
    <row r="854" spans="1:1" ht="14.25" customHeight="1" x14ac:dyDescent="0.35">
      <c r="A854" s="27"/>
    </row>
    <row r="855" spans="1:1" ht="14.25" customHeight="1" x14ac:dyDescent="0.35">
      <c r="A855" s="27"/>
    </row>
    <row r="856" spans="1:1" ht="14.25" customHeight="1" x14ac:dyDescent="0.35">
      <c r="A856" s="27"/>
    </row>
    <row r="857" spans="1:1" ht="14.25" customHeight="1" x14ac:dyDescent="0.35">
      <c r="A857" s="27"/>
    </row>
    <row r="858" spans="1:1" ht="14.25" customHeight="1" x14ac:dyDescent="0.35">
      <c r="A858" s="27"/>
    </row>
    <row r="859" spans="1:1" ht="14.25" customHeight="1" x14ac:dyDescent="0.35">
      <c r="A859" s="27"/>
    </row>
    <row r="860" spans="1:1" ht="14.25" customHeight="1" x14ac:dyDescent="0.35">
      <c r="A860" s="27"/>
    </row>
    <row r="861" spans="1:1" ht="14.25" customHeight="1" x14ac:dyDescent="0.35">
      <c r="A861" s="27"/>
    </row>
    <row r="862" spans="1:1" ht="14.25" customHeight="1" x14ac:dyDescent="0.35">
      <c r="A862" s="27"/>
    </row>
    <row r="863" spans="1:1" ht="14.25" customHeight="1" x14ac:dyDescent="0.35">
      <c r="A863" s="27"/>
    </row>
    <row r="864" spans="1:1" ht="14.25" customHeight="1" x14ac:dyDescent="0.35">
      <c r="A864" s="27"/>
    </row>
    <row r="865" spans="1:1" ht="14.25" customHeight="1" x14ac:dyDescent="0.35">
      <c r="A865" s="27"/>
    </row>
    <row r="866" spans="1:1" ht="14.25" customHeight="1" x14ac:dyDescent="0.35">
      <c r="A866" s="27"/>
    </row>
    <row r="867" spans="1:1" ht="14.25" customHeight="1" x14ac:dyDescent="0.35">
      <c r="A867" s="27"/>
    </row>
    <row r="868" spans="1:1" ht="14.25" customHeight="1" x14ac:dyDescent="0.35">
      <c r="A868" s="27"/>
    </row>
    <row r="869" spans="1:1" ht="14.25" customHeight="1" x14ac:dyDescent="0.35">
      <c r="A869" s="27"/>
    </row>
    <row r="870" spans="1:1" ht="14.25" customHeight="1" x14ac:dyDescent="0.35">
      <c r="A870" s="27"/>
    </row>
    <row r="871" spans="1:1" ht="14.25" customHeight="1" x14ac:dyDescent="0.35">
      <c r="A871" s="27"/>
    </row>
    <row r="872" spans="1:1" ht="14.25" customHeight="1" x14ac:dyDescent="0.35">
      <c r="A872" s="27"/>
    </row>
    <row r="873" spans="1:1" ht="14.25" customHeight="1" x14ac:dyDescent="0.35">
      <c r="A873" s="27"/>
    </row>
    <row r="874" spans="1:1" ht="14.25" customHeight="1" x14ac:dyDescent="0.35">
      <c r="A874" s="27"/>
    </row>
    <row r="875" spans="1:1" ht="14.25" customHeight="1" x14ac:dyDescent="0.35">
      <c r="A875" s="27"/>
    </row>
    <row r="876" spans="1:1" ht="14.25" customHeight="1" x14ac:dyDescent="0.35">
      <c r="A876" s="27"/>
    </row>
    <row r="877" spans="1:1" ht="14.25" customHeight="1" x14ac:dyDescent="0.35">
      <c r="A877" s="27"/>
    </row>
    <row r="878" spans="1:1" ht="14.25" customHeight="1" x14ac:dyDescent="0.35">
      <c r="A878" s="27"/>
    </row>
    <row r="879" spans="1:1" ht="14.25" customHeight="1" x14ac:dyDescent="0.35">
      <c r="A879" s="27"/>
    </row>
    <row r="880" spans="1:1" ht="14.25" customHeight="1" x14ac:dyDescent="0.35">
      <c r="A880" s="27"/>
    </row>
    <row r="881" spans="1:1" ht="14.25" customHeight="1" x14ac:dyDescent="0.35">
      <c r="A881" s="27"/>
    </row>
    <row r="882" spans="1:1" ht="14.25" customHeight="1" x14ac:dyDescent="0.35">
      <c r="A882" s="27"/>
    </row>
    <row r="883" spans="1:1" ht="14.25" customHeight="1" x14ac:dyDescent="0.35">
      <c r="A883" s="27"/>
    </row>
    <row r="884" spans="1:1" ht="14.25" customHeight="1" x14ac:dyDescent="0.35">
      <c r="A884" s="27"/>
    </row>
    <row r="885" spans="1:1" ht="14.25" customHeight="1" x14ac:dyDescent="0.35">
      <c r="A885" s="27"/>
    </row>
    <row r="886" spans="1:1" ht="14.25" customHeight="1" x14ac:dyDescent="0.35">
      <c r="A886" s="27"/>
    </row>
    <row r="887" spans="1:1" ht="14.25" customHeight="1" x14ac:dyDescent="0.35">
      <c r="A887" s="27"/>
    </row>
    <row r="888" spans="1:1" ht="14.25" customHeight="1" x14ac:dyDescent="0.35">
      <c r="A888" s="27"/>
    </row>
    <row r="889" spans="1:1" ht="14.25" customHeight="1" x14ac:dyDescent="0.35">
      <c r="A889" s="27"/>
    </row>
    <row r="890" spans="1:1" ht="14.25" customHeight="1" x14ac:dyDescent="0.35">
      <c r="A890" s="27"/>
    </row>
    <row r="891" spans="1:1" ht="14.25" customHeight="1" x14ac:dyDescent="0.35">
      <c r="A891" s="27"/>
    </row>
    <row r="892" spans="1:1" ht="14.25" customHeight="1" x14ac:dyDescent="0.35">
      <c r="A892" s="27"/>
    </row>
    <row r="893" spans="1:1" ht="14.25" customHeight="1" x14ac:dyDescent="0.35">
      <c r="A893" s="27"/>
    </row>
    <row r="894" spans="1:1" ht="14.25" customHeight="1" x14ac:dyDescent="0.35">
      <c r="A894" s="27"/>
    </row>
    <row r="895" spans="1:1" ht="14.25" customHeight="1" x14ac:dyDescent="0.35">
      <c r="A895" s="27"/>
    </row>
    <row r="896" spans="1:1" ht="14.25" customHeight="1" x14ac:dyDescent="0.35">
      <c r="A896" s="27"/>
    </row>
    <row r="897" spans="1:1" ht="14.25" customHeight="1" x14ac:dyDescent="0.35">
      <c r="A897" s="27"/>
    </row>
    <row r="898" spans="1:1" ht="14.25" customHeight="1" x14ac:dyDescent="0.35">
      <c r="A898" s="27"/>
    </row>
    <row r="899" spans="1:1" ht="14.25" customHeight="1" x14ac:dyDescent="0.35">
      <c r="A899" s="27"/>
    </row>
    <row r="900" spans="1:1" ht="14.25" customHeight="1" x14ac:dyDescent="0.35">
      <c r="A900" s="27"/>
    </row>
    <row r="901" spans="1:1" ht="14.25" customHeight="1" x14ac:dyDescent="0.35">
      <c r="A901" s="27"/>
    </row>
    <row r="902" spans="1:1" ht="14.25" customHeight="1" x14ac:dyDescent="0.35">
      <c r="A902" s="27"/>
    </row>
    <row r="903" spans="1:1" ht="14.25" customHeight="1" x14ac:dyDescent="0.35">
      <c r="A903" s="27"/>
    </row>
    <row r="904" spans="1:1" ht="14.25" customHeight="1" x14ac:dyDescent="0.35">
      <c r="A904" s="27"/>
    </row>
    <row r="905" spans="1:1" ht="14.25" customHeight="1" x14ac:dyDescent="0.35">
      <c r="A905" s="27"/>
    </row>
    <row r="906" spans="1:1" ht="14.25" customHeight="1" x14ac:dyDescent="0.35">
      <c r="A906" s="27"/>
    </row>
    <row r="907" spans="1:1" ht="14.25" customHeight="1" x14ac:dyDescent="0.35">
      <c r="A907" s="27"/>
    </row>
    <row r="908" spans="1:1" ht="14.25" customHeight="1" x14ac:dyDescent="0.35">
      <c r="A908" s="27"/>
    </row>
    <row r="909" spans="1:1" ht="14.25" customHeight="1" x14ac:dyDescent="0.35">
      <c r="A909" s="27"/>
    </row>
    <row r="910" spans="1:1" ht="14.25" customHeight="1" x14ac:dyDescent="0.35">
      <c r="A910" s="27"/>
    </row>
    <row r="911" spans="1:1" ht="14.25" customHeight="1" x14ac:dyDescent="0.35">
      <c r="A911" s="27"/>
    </row>
    <row r="912" spans="1:1" ht="14.25" customHeight="1" x14ac:dyDescent="0.35">
      <c r="A912" s="27"/>
    </row>
    <row r="913" spans="1:1" ht="14.25" customHeight="1" x14ac:dyDescent="0.35">
      <c r="A913" s="27"/>
    </row>
    <row r="914" spans="1:1" ht="14.25" customHeight="1" x14ac:dyDescent="0.35">
      <c r="A914" s="27"/>
    </row>
    <row r="915" spans="1:1" ht="14.25" customHeight="1" x14ac:dyDescent="0.35">
      <c r="A915" s="27"/>
    </row>
    <row r="916" spans="1:1" ht="14.25" customHeight="1" x14ac:dyDescent="0.35">
      <c r="A916" s="27"/>
    </row>
    <row r="917" spans="1:1" ht="14.25" customHeight="1" x14ac:dyDescent="0.35">
      <c r="A917" s="27"/>
    </row>
    <row r="918" spans="1:1" ht="14.25" customHeight="1" x14ac:dyDescent="0.35">
      <c r="A918" s="27"/>
    </row>
    <row r="919" spans="1:1" ht="14.25" customHeight="1" x14ac:dyDescent="0.35">
      <c r="A919" s="27"/>
    </row>
    <row r="920" spans="1:1" ht="14.25" customHeight="1" x14ac:dyDescent="0.35">
      <c r="A920" s="27"/>
    </row>
    <row r="921" spans="1:1" ht="14.25" customHeight="1" x14ac:dyDescent="0.35">
      <c r="A921" s="27"/>
    </row>
    <row r="922" spans="1:1" ht="14.25" customHeight="1" x14ac:dyDescent="0.35">
      <c r="A922" s="27"/>
    </row>
    <row r="923" spans="1:1" ht="14.25" customHeight="1" x14ac:dyDescent="0.35">
      <c r="A923" s="27"/>
    </row>
    <row r="924" spans="1:1" ht="14.25" customHeight="1" x14ac:dyDescent="0.35">
      <c r="A924" s="27"/>
    </row>
    <row r="925" spans="1:1" ht="14.25" customHeight="1" x14ac:dyDescent="0.35">
      <c r="A925" s="27"/>
    </row>
    <row r="926" spans="1:1" ht="14.25" customHeight="1" x14ac:dyDescent="0.35">
      <c r="A926" s="27"/>
    </row>
    <row r="927" spans="1:1" ht="14.25" customHeight="1" x14ac:dyDescent="0.35">
      <c r="A927" s="27"/>
    </row>
    <row r="928" spans="1:1" ht="14.25" customHeight="1" x14ac:dyDescent="0.35">
      <c r="A928" s="27"/>
    </row>
    <row r="929" spans="1:1" ht="14.25" customHeight="1" x14ac:dyDescent="0.35">
      <c r="A929" s="27"/>
    </row>
    <row r="930" spans="1:1" ht="14.25" customHeight="1" x14ac:dyDescent="0.35">
      <c r="A930" s="27"/>
    </row>
    <row r="931" spans="1:1" ht="14.25" customHeight="1" x14ac:dyDescent="0.35">
      <c r="A931" s="27"/>
    </row>
    <row r="932" spans="1:1" ht="14.25" customHeight="1" x14ac:dyDescent="0.35">
      <c r="A932" s="27"/>
    </row>
    <row r="933" spans="1:1" ht="14.25" customHeight="1" x14ac:dyDescent="0.35">
      <c r="A933" s="27"/>
    </row>
    <row r="934" spans="1:1" ht="14.25" customHeight="1" x14ac:dyDescent="0.35">
      <c r="A934" s="27"/>
    </row>
    <row r="935" spans="1:1" ht="14.25" customHeight="1" x14ac:dyDescent="0.35">
      <c r="A935" s="27"/>
    </row>
    <row r="936" spans="1:1" ht="14.25" customHeight="1" x14ac:dyDescent="0.35">
      <c r="A936" s="27"/>
    </row>
    <row r="937" spans="1:1" ht="14.25" customHeight="1" x14ac:dyDescent="0.35">
      <c r="A937" s="27"/>
    </row>
    <row r="938" spans="1:1" ht="14.25" customHeight="1" x14ac:dyDescent="0.35">
      <c r="A938" s="27"/>
    </row>
    <row r="939" spans="1:1" ht="14.25" customHeight="1" x14ac:dyDescent="0.35">
      <c r="A939" s="27"/>
    </row>
    <row r="940" spans="1:1" ht="14.25" customHeight="1" x14ac:dyDescent="0.35">
      <c r="A940" s="27"/>
    </row>
    <row r="941" spans="1:1" ht="14.25" customHeight="1" x14ac:dyDescent="0.35">
      <c r="A941" s="27"/>
    </row>
    <row r="942" spans="1:1" ht="14.25" customHeight="1" x14ac:dyDescent="0.35">
      <c r="A942" s="27"/>
    </row>
    <row r="943" spans="1:1" ht="14.25" customHeight="1" x14ac:dyDescent="0.35">
      <c r="A943" s="27"/>
    </row>
    <row r="944" spans="1:1" ht="14.25" customHeight="1" x14ac:dyDescent="0.35">
      <c r="A944" s="27"/>
    </row>
    <row r="945" spans="1:1" ht="14.25" customHeight="1" x14ac:dyDescent="0.35">
      <c r="A945" s="27"/>
    </row>
    <row r="946" spans="1:1" ht="14.25" customHeight="1" x14ac:dyDescent="0.35">
      <c r="A946" s="27"/>
    </row>
    <row r="947" spans="1:1" ht="14.25" customHeight="1" x14ac:dyDescent="0.35">
      <c r="A947" s="27"/>
    </row>
    <row r="948" spans="1:1" ht="14.25" customHeight="1" x14ac:dyDescent="0.35">
      <c r="A948" s="27"/>
    </row>
    <row r="949" spans="1:1" ht="14.25" customHeight="1" x14ac:dyDescent="0.35">
      <c r="A949" s="27"/>
    </row>
    <row r="950" spans="1:1" ht="14.25" customHeight="1" x14ac:dyDescent="0.35">
      <c r="A950" s="27"/>
    </row>
    <row r="951" spans="1:1" ht="14.25" customHeight="1" x14ac:dyDescent="0.35">
      <c r="A951" s="27"/>
    </row>
    <row r="952" spans="1:1" ht="14.25" customHeight="1" x14ac:dyDescent="0.35">
      <c r="A952" s="27"/>
    </row>
    <row r="953" spans="1:1" ht="14.25" customHeight="1" x14ac:dyDescent="0.35">
      <c r="A953" s="27"/>
    </row>
    <row r="954" spans="1:1" ht="14.25" customHeight="1" x14ac:dyDescent="0.35">
      <c r="A954" s="27"/>
    </row>
    <row r="955" spans="1:1" ht="14.25" customHeight="1" x14ac:dyDescent="0.35">
      <c r="A955" s="27"/>
    </row>
    <row r="956" spans="1:1" ht="14.25" customHeight="1" x14ac:dyDescent="0.35">
      <c r="A956" s="27"/>
    </row>
    <row r="957" spans="1:1" ht="14.25" customHeight="1" x14ac:dyDescent="0.35">
      <c r="A957" s="27"/>
    </row>
    <row r="958" spans="1:1" ht="14.25" customHeight="1" x14ac:dyDescent="0.35">
      <c r="A958" s="27"/>
    </row>
    <row r="959" spans="1:1" ht="14.25" customHeight="1" x14ac:dyDescent="0.35">
      <c r="A959" s="27"/>
    </row>
    <row r="960" spans="1:1" ht="14.25" customHeight="1" x14ac:dyDescent="0.35">
      <c r="A960" s="27"/>
    </row>
    <row r="961" spans="1:1" ht="14.25" customHeight="1" x14ac:dyDescent="0.35">
      <c r="A961" s="27"/>
    </row>
    <row r="962" spans="1:1" ht="14.25" customHeight="1" x14ac:dyDescent="0.35">
      <c r="A962" s="27"/>
    </row>
    <row r="963" spans="1:1" ht="14.25" customHeight="1" x14ac:dyDescent="0.35">
      <c r="A963" s="27"/>
    </row>
    <row r="964" spans="1:1" ht="14.25" customHeight="1" x14ac:dyDescent="0.35">
      <c r="A964" s="27"/>
    </row>
    <row r="965" spans="1:1" ht="14.25" customHeight="1" x14ac:dyDescent="0.35">
      <c r="A965" s="27"/>
    </row>
    <row r="966" spans="1:1" ht="14.25" customHeight="1" x14ac:dyDescent="0.35">
      <c r="A966" s="27"/>
    </row>
    <row r="967" spans="1:1" ht="14.25" customHeight="1" x14ac:dyDescent="0.35">
      <c r="A967" s="27"/>
    </row>
    <row r="968" spans="1:1" ht="14.25" customHeight="1" x14ac:dyDescent="0.35">
      <c r="A968" s="27"/>
    </row>
    <row r="969" spans="1:1" ht="14.25" customHeight="1" x14ac:dyDescent="0.35">
      <c r="A969" s="27"/>
    </row>
    <row r="970" spans="1:1" ht="14.25" customHeight="1" x14ac:dyDescent="0.35">
      <c r="A970" s="27"/>
    </row>
    <row r="971" spans="1:1" ht="14.25" customHeight="1" x14ac:dyDescent="0.35">
      <c r="A971" s="27"/>
    </row>
    <row r="972" spans="1:1" ht="14.25" customHeight="1" x14ac:dyDescent="0.35">
      <c r="A972" s="27"/>
    </row>
    <row r="973" spans="1:1" ht="14.25" customHeight="1" x14ac:dyDescent="0.35">
      <c r="A973" s="27"/>
    </row>
    <row r="974" spans="1:1" ht="14.25" customHeight="1" x14ac:dyDescent="0.35">
      <c r="A974" s="27"/>
    </row>
    <row r="975" spans="1:1" ht="14.25" customHeight="1" x14ac:dyDescent="0.35">
      <c r="A975" s="27"/>
    </row>
    <row r="976" spans="1:1" ht="14.25" customHeight="1" x14ac:dyDescent="0.35">
      <c r="A976" s="27"/>
    </row>
    <row r="977" spans="1:1" ht="14.25" customHeight="1" x14ac:dyDescent="0.35">
      <c r="A977" s="27"/>
    </row>
    <row r="978" spans="1:1" ht="14.25" customHeight="1" x14ac:dyDescent="0.35">
      <c r="A978" s="27"/>
    </row>
    <row r="979" spans="1:1" ht="14.25" customHeight="1" x14ac:dyDescent="0.35">
      <c r="A979" s="27"/>
    </row>
    <row r="980" spans="1:1" ht="14.25" customHeight="1" x14ac:dyDescent="0.35">
      <c r="A980" s="27"/>
    </row>
    <row r="981" spans="1:1" ht="14.25" customHeight="1" x14ac:dyDescent="0.35">
      <c r="A981" s="27"/>
    </row>
    <row r="982" spans="1:1" ht="14.25" customHeight="1" x14ac:dyDescent="0.35">
      <c r="A982" s="27"/>
    </row>
    <row r="983" spans="1:1" ht="14.25" customHeight="1" x14ac:dyDescent="0.35">
      <c r="A983" s="27"/>
    </row>
    <row r="984" spans="1:1" ht="14.25" customHeight="1" x14ac:dyDescent="0.35">
      <c r="A984" s="27"/>
    </row>
    <row r="985" spans="1:1" ht="14.25" customHeight="1" x14ac:dyDescent="0.35">
      <c r="A985" s="27"/>
    </row>
  </sheetData>
  <phoneticPr fontId="22" type="noConversion"/>
  <pageMargins left="0.7" right="0.7" top="0.75" bottom="0.75" header="0" footer="0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2.6328125" defaultRowHeight="15" customHeight="1" x14ac:dyDescent="0.35"/>
  <cols>
    <col min="1" max="1" width="22.6328125" customWidth="1"/>
    <col min="2" max="2" width="15.453125" customWidth="1"/>
    <col min="3" max="3" width="24" customWidth="1"/>
    <col min="4" max="5" width="8.6328125" customWidth="1"/>
    <col min="6" max="6" width="9.08984375" customWidth="1"/>
    <col min="7" max="7" width="8.6328125" customWidth="1"/>
    <col min="8" max="8" width="9.08984375" customWidth="1"/>
    <col min="9" max="9" width="8.6328125" customWidth="1"/>
    <col min="10" max="10" width="9.7265625" customWidth="1"/>
    <col min="11" max="26" width="8.6328125" customWidth="1"/>
  </cols>
  <sheetData>
    <row r="1" spans="1:11" ht="14.25" customHeight="1" x14ac:dyDescent="0.35">
      <c r="A1" s="26" t="s">
        <v>0</v>
      </c>
      <c r="B1" s="26" t="s">
        <v>1</v>
      </c>
      <c r="C1" s="26" t="s">
        <v>2</v>
      </c>
      <c r="D1" s="26" t="s">
        <v>4</v>
      </c>
      <c r="E1" s="26" t="s">
        <v>5</v>
      </c>
      <c r="F1" s="27" t="s">
        <v>6</v>
      </c>
      <c r="G1" s="26" t="s">
        <v>7</v>
      </c>
      <c r="H1" s="27" t="s">
        <v>8</v>
      </c>
    </row>
    <row r="2" spans="1:11" ht="14.25" customHeight="1" x14ac:dyDescent="0.35">
      <c r="A2" s="26" t="s">
        <v>36</v>
      </c>
      <c r="B2" s="26" t="s">
        <v>37</v>
      </c>
      <c r="C2" s="26" t="s">
        <v>38</v>
      </c>
      <c r="D2" s="28" t="s">
        <v>40</v>
      </c>
      <c r="E2" s="29" t="s">
        <v>41</v>
      </c>
      <c r="F2" s="27">
        <v>10.69</v>
      </c>
      <c r="G2" s="26">
        <v>2</v>
      </c>
      <c r="H2" s="27">
        <f t="shared" ref="H2:H14" si="0">F2*G2</f>
        <v>21.38</v>
      </c>
      <c r="J2" s="6" t="s">
        <v>9</v>
      </c>
      <c r="K2" s="7">
        <f>SUM(H:H)</f>
        <v>305.15000000000003</v>
      </c>
    </row>
    <row r="3" spans="1:11" ht="14.25" customHeight="1" x14ac:dyDescent="0.35">
      <c r="A3" s="26" t="s">
        <v>26</v>
      </c>
      <c r="B3" s="26" t="s">
        <v>27</v>
      </c>
      <c r="C3" s="26" t="s">
        <v>28</v>
      </c>
      <c r="D3" s="28" t="s">
        <v>29</v>
      </c>
      <c r="E3" s="30"/>
      <c r="F3" s="27">
        <v>5.69</v>
      </c>
      <c r="G3" s="26">
        <v>1</v>
      </c>
      <c r="H3" s="27">
        <f t="shared" si="0"/>
        <v>5.69</v>
      </c>
    </row>
    <row r="4" spans="1:11" ht="14.25" customHeight="1" x14ac:dyDescent="0.35">
      <c r="A4" s="26" t="s">
        <v>64</v>
      </c>
      <c r="B4" s="26" t="s">
        <v>65</v>
      </c>
      <c r="D4" s="26"/>
      <c r="F4" s="27">
        <v>15</v>
      </c>
      <c r="G4" s="26">
        <v>1</v>
      </c>
      <c r="H4" s="27">
        <f t="shared" si="0"/>
        <v>15</v>
      </c>
    </row>
    <row r="5" spans="1:11" ht="14.25" customHeight="1" x14ac:dyDescent="0.35">
      <c r="A5" s="26" t="s">
        <v>30</v>
      </c>
      <c r="B5" s="26" t="s">
        <v>31</v>
      </c>
      <c r="C5" s="26" t="s">
        <v>32</v>
      </c>
      <c r="D5" s="31" t="s">
        <v>33</v>
      </c>
      <c r="F5" s="32">
        <v>23.25</v>
      </c>
      <c r="G5" s="26">
        <v>1</v>
      </c>
      <c r="H5" s="27">
        <f t="shared" si="0"/>
        <v>23.25</v>
      </c>
    </row>
    <row r="6" spans="1:11" ht="14.25" customHeight="1" x14ac:dyDescent="0.35">
      <c r="A6" s="26" t="s">
        <v>57</v>
      </c>
      <c r="B6" s="26" t="s">
        <v>58</v>
      </c>
      <c r="C6" s="26" t="s">
        <v>66</v>
      </c>
      <c r="D6" s="26" t="s">
        <v>67</v>
      </c>
      <c r="F6" s="27">
        <v>8</v>
      </c>
      <c r="G6" s="26">
        <v>16</v>
      </c>
      <c r="H6" s="27">
        <f t="shared" si="0"/>
        <v>128</v>
      </c>
    </row>
    <row r="7" spans="1:11" ht="14.25" customHeight="1" x14ac:dyDescent="0.35">
      <c r="A7" s="26" t="s">
        <v>10</v>
      </c>
      <c r="B7" s="26" t="s">
        <v>11</v>
      </c>
      <c r="D7" s="26"/>
      <c r="F7" s="27">
        <v>10</v>
      </c>
      <c r="G7" s="26">
        <v>2</v>
      </c>
      <c r="H7" s="27">
        <f t="shared" si="0"/>
        <v>20</v>
      </c>
    </row>
    <row r="8" spans="1:11" ht="14.25" customHeight="1" x14ac:dyDescent="0.35">
      <c r="A8" s="26" t="s">
        <v>21</v>
      </c>
      <c r="B8" s="26" t="s">
        <v>11</v>
      </c>
      <c r="D8" s="26"/>
      <c r="F8" s="27">
        <v>10</v>
      </c>
      <c r="G8" s="26">
        <v>2</v>
      </c>
      <c r="H8" s="27">
        <f t="shared" si="0"/>
        <v>20</v>
      </c>
    </row>
    <row r="9" spans="1:11" ht="14.25" customHeight="1" x14ac:dyDescent="0.35">
      <c r="A9" s="26" t="s">
        <v>14</v>
      </c>
      <c r="B9" s="26" t="s">
        <v>11</v>
      </c>
      <c r="D9" s="26"/>
      <c r="F9" s="27">
        <v>10</v>
      </c>
      <c r="G9" s="26">
        <v>1</v>
      </c>
      <c r="H9" s="27">
        <f t="shared" si="0"/>
        <v>10</v>
      </c>
    </row>
    <row r="10" spans="1:11" ht="14.25" customHeight="1" x14ac:dyDescent="0.35">
      <c r="A10" s="26" t="s">
        <v>68</v>
      </c>
      <c r="B10" s="26" t="s">
        <v>69</v>
      </c>
      <c r="C10" s="26" t="s">
        <v>70</v>
      </c>
      <c r="D10" s="26" t="s">
        <v>71</v>
      </c>
      <c r="F10" s="27">
        <v>10</v>
      </c>
      <c r="G10" s="26">
        <v>1</v>
      </c>
      <c r="H10" s="27">
        <f t="shared" si="0"/>
        <v>10</v>
      </c>
    </row>
    <row r="11" spans="1:11" ht="14.25" customHeight="1" x14ac:dyDescent="0.35">
      <c r="A11" s="26" t="s">
        <v>50</v>
      </c>
      <c r="B11" s="26" t="s">
        <v>51</v>
      </c>
      <c r="D11" s="26"/>
      <c r="F11" s="27">
        <v>5</v>
      </c>
      <c r="G11" s="26">
        <v>4</v>
      </c>
      <c r="H11" s="27">
        <f t="shared" si="0"/>
        <v>20</v>
      </c>
    </row>
    <row r="12" spans="1:11" ht="14.25" customHeight="1" x14ac:dyDescent="0.35">
      <c r="A12" s="26" t="s">
        <v>15</v>
      </c>
      <c r="C12" s="33" t="s">
        <v>72</v>
      </c>
      <c r="D12" s="26"/>
      <c r="F12" s="27">
        <v>6.05</v>
      </c>
      <c r="G12" s="26">
        <v>1</v>
      </c>
      <c r="H12" s="27">
        <f t="shared" si="0"/>
        <v>6.05</v>
      </c>
    </row>
    <row r="13" spans="1:11" ht="14.25" customHeight="1" x14ac:dyDescent="0.35">
      <c r="A13" s="33" t="s">
        <v>44</v>
      </c>
      <c r="C13" s="33" t="s">
        <v>45</v>
      </c>
      <c r="D13" s="34" t="s">
        <v>47</v>
      </c>
      <c r="F13" s="32">
        <v>2.16</v>
      </c>
      <c r="G13" s="33">
        <v>1</v>
      </c>
      <c r="H13" s="27">
        <f t="shared" si="0"/>
        <v>2.16</v>
      </c>
    </row>
    <row r="14" spans="1:11" ht="14.25" customHeight="1" x14ac:dyDescent="0.35">
      <c r="A14" s="33" t="s">
        <v>23</v>
      </c>
      <c r="C14" s="33" t="s">
        <v>24</v>
      </c>
      <c r="D14" s="31" t="s">
        <v>25</v>
      </c>
      <c r="F14" s="32">
        <v>23.62</v>
      </c>
      <c r="G14" s="33">
        <v>1</v>
      </c>
      <c r="H14" s="27">
        <f t="shared" si="0"/>
        <v>23.62</v>
      </c>
    </row>
    <row r="15" spans="1:11" ht="14.25" customHeight="1" x14ac:dyDescent="0.35">
      <c r="A15" s="26" t="s">
        <v>53</v>
      </c>
      <c r="B15" s="26" t="s">
        <v>54</v>
      </c>
      <c r="D15" s="26"/>
      <c r="F15" s="27"/>
      <c r="H15" s="27"/>
    </row>
    <row r="16" spans="1:11" ht="14.25" customHeight="1" x14ac:dyDescent="0.35">
      <c r="D16" s="26"/>
      <c r="F16" s="27"/>
      <c r="H16" s="27"/>
    </row>
    <row r="17" spans="4:8" ht="14.25" customHeight="1" x14ac:dyDescent="0.35">
      <c r="D17" s="26"/>
      <c r="F17" s="27"/>
      <c r="H17" s="27"/>
    </row>
    <row r="18" spans="4:8" ht="14.25" customHeight="1" x14ac:dyDescent="0.35">
      <c r="D18" s="26"/>
      <c r="F18" s="27"/>
      <c r="H18" s="27"/>
    </row>
    <row r="19" spans="4:8" ht="14.25" customHeight="1" x14ac:dyDescent="0.35">
      <c r="D19" s="26"/>
      <c r="F19" s="27"/>
      <c r="H19" s="27"/>
    </row>
    <row r="20" spans="4:8" ht="14.25" customHeight="1" x14ac:dyDescent="0.35">
      <c r="D20" s="26"/>
      <c r="F20" s="27"/>
      <c r="H20" s="27"/>
    </row>
    <row r="21" spans="4:8" ht="14.25" customHeight="1" x14ac:dyDescent="0.35">
      <c r="D21" s="26"/>
      <c r="F21" s="27"/>
      <c r="H21" s="27"/>
    </row>
    <row r="22" spans="4:8" ht="14.25" customHeight="1" x14ac:dyDescent="0.35">
      <c r="D22" s="26"/>
      <c r="F22" s="27"/>
      <c r="H22" s="27"/>
    </row>
    <row r="23" spans="4:8" ht="14.25" customHeight="1" x14ac:dyDescent="0.35">
      <c r="D23" s="26"/>
      <c r="F23" s="27"/>
      <c r="H23" s="27"/>
    </row>
    <row r="24" spans="4:8" ht="14.25" customHeight="1" x14ac:dyDescent="0.35">
      <c r="D24" s="26"/>
      <c r="F24" s="27"/>
      <c r="H24" s="27"/>
    </row>
    <row r="25" spans="4:8" ht="14.25" customHeight="1" x14ac:dyDescent="0.35">
      <c r="D25" s="26"/>
      <c r="F25" s="27"/>
      <c r="H25" s="27"/>
    </row>
    <row r="26" spans="4:8" ht="14.25" customHeight="1" x14ac:dyDescent="0.35">
      <c r="D26" s="26"/>
      <c r="F26" s="27"/>
      <c r="H26" s="27"/>
    </row>
    <row r="27" spans="4:8" ht="14.25" customHeight="1" x14ac:dyDescent="0.35">
      <c r="D27" s="26"/>
      <c r="F27" s="27"/>
      <c r="H27" s="27"/>
    </row>
    <row r="28" spans="4:8" ht="14.25" customHeight="1" x14ac:dyDescent="0.35">
      <c r="D28" s="26"/>
      <c r="F28" s="27"/>
      <c r="H28" s="27"/>
    </row>
    <row r="29" spans="4:8" ht="14.25" customHeight="1" x14ac:dyDescent="0.35">
      <c r="D29" s="26"/>
      <c r="F29" s="27"/>
      <c r="H29" s="27"/>
    </row>
    <row r="30" spans="4:8" ht="14.25" customHeight="1" x14ac:dyDescent="0.35">
      <c r="D30" s="26"/>
      <c r="F30" s="27"/>
      <c r="H30" s="27"/>
    </row>
    <row r="31" spans="4:8" ht="14.25" customHeight="1" x14ac:dyDescent="0.35">
      <c r="D31" s="26"/>
      <c r="F31" s="27"/>
      <c r="H31" s="27"/>
    </row>
    <row r="32" spans="4:8" ht="14.25" customHeight="1" x14ac:dyDescent="0.35">
      <c r="D32" s="26"/>
      <c r="F32" s="27"/>
      <c r="H32" s="27"/>
    </row>
    <row r="33" spans="4:8" ht="14.25" customHeight="1" x14ac:dyDescent="0.35">
      <c r="D33" s="26"/>
      <c r="F33" s="27"/>
      <c r="H33" s="27"/>
    </row>
    <row r="34" spans="4:8" ht="14.25" customHeight="1" x14ac:dyDescent="0.35">
      <c r="D34" s="26"/>
      <c r="F34" s="27"/>
      <c r="H34" s="27"/>
    </row>
    <row r="35" spans="4:8" ht="14.25" customHeight="1" x14ac:dyDescent="0.35">
      <c r="D35" s="26"/>
      <c r="F35" s="27"/>
      <c r="H35" s="27"/>
    </row>
    <row r="36" spans="4:8" ht="14.25" customHeight="1" x14ac:dyDescent="0.35">
      <c r="D36" s="26"/>
      <c r="F36" s="27"/>
      <c r="H36" s="27"/>
    </row>
    <row r="37" spans="4:8" ht="14.25" customHeight="1" x14ac:dyDescent="0.35">
      <c r="D37" s="26"/>
      <c r="F37" s="27"/>
      <c r="H37" s="27"/>
    </row>
    <row r="38" spans="4:8" ht="14.25" customHeight="1" x14ac:dyDescent="0.35">
      <c r="D38" s="26"/>
      <c r="F38" s="27"/>
      <c r="H38" s="27"/>
    </row>
    <row r="39" spans="4:8" ht="14.25" customHeight="1" x14ac:dyDescent="0.35">
      <c r="D39" s="26"/>
      <c r="F39" s="27"/>
      <c r="H39" s="27"/>
    </row>
    <row r="40" spans="4:8" ht="14.25" customHeight="1" x14ac:dyDescent="0.35">
      <c r="D40" s="26"/>
      <c r="F40" s="27"/>
      <c r="H40" s="27"/>
    </row>
    <row r="41" spans="4:8" ht="14.25" customHeight="1" x14ac:dyDescent="0.35">
      <c r="D41" s="26"/>
      <c r="F41" s="27"/>
      <c r="H41" s="27"/>
    </row>
    <row r="42" spans="4:8" ht="14.25" customHeight="1" x14ac:dyDescent="0.35">
      <c r="D42" s="26"/>
      <c r="F42" s="27"/>
      <c r="H42" s="27"/>
    </row>
    <row r="43" spans="4:8" ht="14.25" customHeight="1" x14ac:dyDescent="0.35">
      <c r="D43" s="26"/>
      <c r="F43" s="27"/>
      <c r="H43" s="27"/>
    </row>
    <row r="44" spans="4:8" ht="14.25" customHeight="1" x14ac:dyDescent="0.35">
      <c r="D44" s="26"/>
      <c r="F44" s="27"/>
      <c r="H44" s="27"/>
    </row>
    <row r="45" spans="4:8" ht="14.25" customHeight="1" x14ac:dyDescent="0.35">
      <c r="D45" s="26"/>
      <c r="F45" s="27"/>
      <c r="H45" s="27"/>
    </row>
    <row r="46" spans="4:8" ht="14.25" customHeight="1" x14ac:dyDescent="0.35">
      <c r="D46" s="26"/>
      <c r="F46" s="27"/>
      <c r="H46" s="27"/>
    </row>
    <row r="47" spans="4:8" ht="14.25" customHeight="1" x14ac:dyDescent="0.35">
      <c r="D47" s="26"/>
      <c r="F47" s="27"/>
      <c r="H47" s="27"/>
    </row>
    <row r="48" spans="4:8" ht="14.25" customHeight="1" x14ac:dyDescent="0.35">
      <c r="D48" s="26"/>
      <c r="F48" s="27"/>
      <c r="H48" s="27"/>
    </row>
    <row r="49" spans="4:8" ht="14.25" customHeight="1" x14ac:dyDescent="0.35">
      <c r="D49" s="26"/>
      <c r="F49" s="27"/>
      <c r="H49" s="27"/>
    </row>
    <row r="50" spans="4:8" ht="14.25" customHeight="1" x14ac:dyDescent="0.35">
      <c r="D50" s="26"/>
      <c r="F50" s="27"/>
      <c r="H50" s="27"/>
    </row>
    <row r="51" spans="4:8" ht="14.25" customHeight="1" x14ac:dyDescent="0.35">
      <c r="D51" s="26"/>
      <c r="F51" s="27"/>
      <c r="H51" s="27"/>
    </row>
    <row r="52" spans="4:8" ht="14.25" customHeight="1" x14ac:dyDescent="0.35">
      <c r="D52" s="26"/>
      <c r="F52" s="27"/>
      <c r="H52" s="27"/>
    </row>
    <row r="53" spans="4:8" ht="14.25" customHeight="1" x14ac:dyDescent="0.35">
      <c r="D53" s="26"/>
      <c r="F53" s="27"/>
      <c r="H53" s="27"/>
    </row>
    <row r="54" spans="4:8" ht="14.25" customHeight="1" x14ac:dyDescent="0.35">
      <c r="D54" s="26"/>
      <c r="F54" s="27"/>
      <c r="H54" s="27"/>
    </row>
    <row r="55" spans="4:8" ht="14.25" customHeight="1" x14ac:dyDescent="0.35">
      <c r="D55" s="26"/>
      <c r="F55" s="27"/>
      <c r="H55" s="27"/>
    </row>
    <row r="56" spans="4:8" ht="14.25" customHeight="1" x14ac:dyDescent="0.35">
      <c r="D56" s="26"/>
      <c r="F56" s="27"/>
      <c r="H56" s="27"/>
    </row>
    <row r="57" spans="4:8" ht="14.25" customHeight="1" x14ac:dyDescent="0.35">
      <c r="D57" s="26"/>
      <c r="F57" s="27"/>
      <c r="H57" s="27"/>
    </row>
    <row r="58" spans="4:8" ht="14.25" customHeight="1" x14ac:dyDescent="0.35">
      <c r="D58" s="26"/>
      <c r="F58" s="27"/>
      <c r="H58" s="27"/>
    </row>
    <row r="59" spans="4:8" ht="14.25" customHeight="1" x14ac:dyDescent="0.35">
      <c r="D59" s="26"/>
      <c r="F59" s="27"/>
      <c r="H59" s="27"/>
    </row>
    <row r="60" spans="4:8" ht="14.25" customHeight="1" x14ac:dyDescent="0.35">
      <c r="D60" s="26"/>
      <c r="F60" s="27"/>
      <c r="H60" s="27"/>
    </row>
    <row r="61" spans="4:8" ht="14.25" customHeight="1" x14ac:dyDescent="0.35">
      <c r="D61" s="26"/>
      <c r="F61" s="27"/>
      <c r="H61" s="27"/>
    </row>
    <row r="62" spans="4:8" ht="14.25" customHeight="1" x14ac:dyDescent="0.35">
      <c r="D62" s="26"/>
      <c r="F62" s="27"/>
      <c r="H62" s="27"/>
    </row>
    <row r="63" spans="4:8" ht="14.25" customHeight="1" x14ac:dyDescent="0.35">
      <c r="D63" s="26"/>
      <c r="F63" s="27"/>
      <c r="H63" s="27"/>
    </row>
    <row r="64" spans="4:8" ht="14.25" customHeight="1" x14ac:dyDescent="0.35">
      <c r="D64" s="26"/>
      <c r="F64" s="27"/>
      <c r="H64" s="27"/>
    </row>
    <row r="65" spans="4:8" ht="14.25" customHeight="1" x14ac:dyDescent="0.35">
      <c r="D65" s="26"/>
      <c r="F65" s="27"/>
      <c r="H65" s="27"/>
    </row>
    <row r="66" spans="4:8" ht="14.25" customHeight="1" x14ac:dyDescent="0.35">
      <c r="D66" s="26"/>
      <c r="F66" s="27"/>
      <c r="H66" s="27"/>
    </row>
    <row r="67" spans="4:8" ht="14.25" customHeight="1" x14ac:dyDescent="0.35">
      <c r="D67" s="26"/>
      <c r="F67" s="27"/>
      <c r="H67" s="27"/>
    </row>
    <row r="68" spans="4:8" ht="14.25" customHeight="1" x14ac:dyDescent="0.35">
      <c r="D68" s="26"/>
      <c r="F68" s="27"/>
      <c r="H68" s="27"/>
    </row>
    <row r="69" spans="4:8" ht="14.25" customHeight="1" x14ac:dyDescent="0.35">
      <c r="D69" s="26"/>
      <c r="F69" s="27"/>
      <c r="H69" s="27"/>
    </row>
    <row r="70" spans="4:8" ht="14.25" customHeight="1" x14ac:dyDescent="0.35">
      <c r="D70" s="26"/>
      <c r="F70" s="27"/>
      <c r="H70" s="27"/>
    </row>
    <row r="71" spans="4:8" ht="14.25" customHeight="1" x14ac:dyDescent="0.35">
      <c r="D71" s="26"/>
      <c r="F71" s="27"/>
      <c r="H71" s="27"/>
    </row>
    <row r="72" spans="4:8" ht="14.25" customHeight="1" x14ac:dyDescent="0.35">
      <c r="D72" s="26"/>
      <c r="F72" s="27"/>
      <c r="H72" s="27"/>
    </row>
    <row r="73" spans="4:8" ht="14.25" customHeight="1" x14ac:dyDescent="0.35">
      <c r="D73" s="26"/>
      <c r="F73" s="27"/>
      <c r="H73" s="27"/>
    </row>
    <row r="74" spans="4:8" ht="14.25" customHeight="1" x14ac:dyDescent="0.35">
      <c r="D74" s="26"/>
      <c r="F74" s="27"/>
      <c r="H74" s="27"/>
    </row>
    <row r="75" spans="4:8" ht="14.25" customHeight="1" x14ac:dyDescent="0.35">
      <c r="D75" s="26"/>
      <c r="F75" s="27"/>
      <c r="H75" s="27"/>
    </row>
    <row r="76" spans="4:8" ht="14.25" customHeight="1" x14ac:dyDescent="0.35">
      <c r="D76" s="26"/>
      <c r="F76" s="27"/>
      <c r="H76" s="27"/>
    </row>
    <row r="77" spans="4:8" ht="14.25" customHeight="1" x14ac:dyDescent="0.35">
      <c r="D77" s="26"/>
      <c r="F77" s="27"/>
      <c r="H77" s="27"/>
    </row>
    <row r="78" spans="4:8" ht="14.25" customHeight="1" x14ac:dyDescent="0.35">
      <c r="D78" s="26"/>
      <c r="F78" s="27"/>
      <c r="H78" s="27"/>
    </row>
    <row r="79" spans="4:8" ht="14.25" customHeight="1" x14ac:dyDescent="0.35">
      <c r="D79" s="26"/>
      <c r="F79" s="27"/>
      <c r="H79" s="27"/>
    </row>
    <row r="80" spans="4:8" ht="14.25" customHeight="1" x14ac:dyDescent="0.35">
      <c r="D80" s="26"/>
      <c r="F80" s="27"/>
      <c r="H80" s="27"/>
    </row>
    <row r="81" spans="4:8" ht="14.25" customHeight="1" x14ac:dyDescent="0.35">
      <c r="D81" s="26"/>
      <c r="F81" s="27"/>
      <c r="H81" s="27"/>
    </row>
    <row r="82" spans="4:8" ht="14.25" customHeight="1" x14ac:dyDescent="0.35">
      <c r="D82" s="26"/>
      <c r="F82" s="27"/>
      <c r="H82" s="27"/>
    </row>
    <row r="83" spans="4:8" ht="14.25" customHeight="1" x14ac:dyDescent="0.35">
      <c r="D83" s="26"/>
      <c r="F83" s="27"/>
      <c r="H83" s="27"/>
    </row>
    <row r="84" spans="4:8" ht="14.25" customHeight="1" x14ac:dyDescent="0.35">
      <c r="D84" s="26"/>
      <c r="F84" s="27"/>
      <c r="H84" s="27"/>
    </row>
    <row r="85" spans="4:8" ht="14.25" customHeight="1" x14ac:dyDescent="0.35">
      <c r="D85" s="26"/>
      <c r="F85" s="27"/>
      <c r="H85" s="27"/>
    </row>
    <row r="86" spans="4:8" ht="14.25" customHeight="1" x14ac:dyDescent="0.35">
      <c r="D86" s="26"/>
      <c r="F86" s="27"/>
      <c r="H86" s="27"/>
    </row>
    <row r="87" spans="4:8" ht="14.25" customHeight="1" x14ac:dyDescent="0.35">
      <c r="D87" s="26"/>
      <c r="F87" s="27"/>
      <c r="H87" s="27"/>
    </row>
    <row r="88" spans="4:8" ht="14.25" customHeight="1" x14ac:dyDescent="0.35">
      <c r="D88" s="26"/>
      <c r="F88" s="27"/>
      <c r="H88" s="27"/>
    </row>
    <row r="89" spans="4:8" ht="14.25" customHeight="1" x14ac:dyDescent="0.35">
      <c r="D89" s="26"/>
      <c r="F89" s="27"/>
      <c r="H89" s="27"/>
    </row>
    <row r="90" spans="4:8" ht="14.25" customHeight="1" x14ac:dyDescent="0.35">
      <c r="D90" s="26"/>
      <c r="F90" s="27"/>
      <c r="H90" s="27"/>
    </row>
    <row r="91" spans="4:8" ht="14.25" customHeight="1" x14ac:dyDescent="0.35">
      <c r="D91" s="26"/>
      <c r="F91" s="27"/>
      <c r="H91" s="27"/>
    </row>
    <row r="92" spans="4:8" ht="14.25" customHeight="1" x14ac:dyDescent="0.35">
      <c r="D92" s="26"/>
      <c r="F92" s="27"/>
      <c r="H92" s="27"/>
    </row>
    <row r="93" spans="4:8" ht="14.25" customHeight="1" x14ac:dyDescent="0.35">
      <c r="D93" s="26"/>
      <c r="F93" s="27"/>
      <c r="H93" s="27"/>
    </row>
    <row r="94" spans="4:8" ht="14.25" customHeight="1" x14ac:dyDescent="0.35">
      <c r="D94" s="26"/>
      <c r="F94" s="27"/>
      <c r="H94" s="27"/>
    </row>
    <row r="95" spans="4:8" ht="14.25" customHeight="1" x14ac:dyDescent="0.35">
      <c r="D95" s="26"/>
      <c r="F95" s="27"/>
      <c r="H95" s="27"/>
    </row>
    <row r="96" spans="4:8" ht="14.25" customHeight="1" x14ac:dyDescent="0.35">
      <c r="D96" s="26"/>
      <c r="F96" s="27"/>
      <c r="H96" s="27"/>
    </row>
    <row r="97" spans="4:8" ht="14.25" customHeight="1" x14ac:dyDescent="0.35">
      <c r="D97" s="26"/>
      <c r="F97" s="27"/>
      <c r="H97" s="27"/>
    </row>
    <row r="98" spans="4:8" ht="14.25" customHeight="1" x14ac:dyDescent="0.35">
      <c r="D98" s="26"/>
      <c r="F98" s="27"/>
      <c r="H98" s="27"/>
    </row>
    <row r="99" spans="4:8" ht="14.25" customHeight="1" x14ac:dyDescent="0.35">
      <c r="D99" s="26"/>
      <c r="F99" s="27"/>
      <c r="H99" s="27"/>
    </row>
    <row r="100" spans="4:8" ht="14.25" customHeight="1" x14ac:dyDescent="0.35">
      <c r="D100" s="26"/>
      <c r="F100" s="27"/>
      <c r="H100" s="27"/>
    </row>
    <row r="101" spans="4:8" ht="14.25" customHeight="1" x14ac:dyDescent="0.35">
      <c r="D101" s="26"/>
      <c r="F101" s="27"/>
      <c r="H101" s="27"/>
    </row>
    <row r="102" spans="4:8" ht="14.25" customHeight="1" x14ac:dyDescent="0.35">
      <c r="D102" s="26"/>
      <c r="F102" s="27"/>
      <c r="H102" s="27"/>
    </row>
    <row r="103" spans="4:8" ht="14.25" customHeight="1" x14ac:dyDescent="0.35">
      <c r="D103" s="26"/>
      <c r="F103" s="27"/>
      <c r="H103" s="27"/>
    </row>
    <row r="104" spans="4:8" ht="14.25" customHeight="1" x14ac:dyDescent="0.35">
      <c r="D104" s="26"/>
      <c r="F104" s="27"/>
      <c r="H104" s="27"/>
    </row>
    <row r="105" spans="4:8" ht="14.25" customHeight="1" x14ac:dyDescent="0.35">
      <c r="D105" s="26"/>
      <c r="F105" s="27"/>
      <c r="H105" s="27"/>
    </row>
    <row r="106" spans="4:8" ht="14.25" customHeight="1" x14ac:dyDescent="0.35">
      <c r="D106" s="26"/>
      <c r="F106" s="27"/>
      <c r="H106" s="27"/>
    </row>
    <row r="107" spans="4:8" ht="14.25" customHeight="1" x14ac:dyDescent="0.35">
      <c r="D107" s="26"/>
      <c r="F107" s="27"/>
      <c r="H107" s="27"/>
    </row>
    <row r="108" spans="4:8" ht="14.25" customHeight="1" x14ac:dyDescent="0.35">
      <c r="D108" s="26"/>
      <c r="F108" s="27"/>
      <c r="H108" s="27"/>
    </row>
    <row r="109" spans="4:8" ht="14.25" customHeight="1" x14ac:dyDescent="0.35">
      <c r="D109" s="26"/>
      <c r="F109" s="27"/>
      <c r="H109" s="27"/>
    </row>
    <row r="110" spans="4:8" ht="14.25" customHeight="1" x14ac:dyDescent="0.35">
      <c r="D110" s="26"/>
      <c r="F110" s="27"/>
      <c r="H110" s="27"/>
    </row>
    <row r="111" spans="4:8" ht="14.25" customHeight="1" x14ac:dyDescent="0.35">
      <c r="D111" s="26"/>
      <c r="F111" s="27"/>
      <c r="H111" s="27"/>
    </row>
    <row r="112" spans="4:8" ht="14.25" customHeight="1" x14ac:dyDescent="0.35">
      <c r="D112" s="26"/>
      <c r="F112" s="27"/>
      <c r="H112" s="27"/>
    </row>
    <row r="113" spans="4:8" ht="14.25" customHeight="1" x14ac:dyDescent="0.35">
      <c r="D113" s="26"/>
      <c r="F113" s="27"/>
      <c r="H113" s="27"/>
    </row>
    <row r="114" spans="4:8" ht="14.25" customHeight="1" x14ac:dyDescent="0.35">
      <c r="D114" s="26"/>
      <c r="F114" s="27"/>
      <c r="H114" s="27"/>
    </row>
    <row r="115" spans="4:8" ht="14.25" customHeight="1" x14ac:dyDescent="0.35">
      <c r="D115" s="26"/>
      <c r="F115" s="27"/>
      <c r="H115" s="27"/>
    </row>
    <row r="116" spans="4:8" ht="14.25" customHeight="1" x14ac:dyDescent="0.35">
      <c r="D116" s="26"/>
      <c r="F116" s="27"/>
      <c r="H116" s="27"/>
    </row>
    <row r="117" spans="4:8" ht="14.25" customHeight="1" x14ac:dyDescent="0.35">
      <c r="D117" s="26"/>
      <c r="F117" s="27"/>
      <c r="H117" s="27"/>
    </row>
    <row r="118" spans="4:8" ht="14.25" customHeight="1" x14ac:dyDescent="0.35">
      <c r="D118" s="26"/>
      <c r="F118" s="27"/>
      <c r="H118" s="27"/>
    </row>
    <row r="119" spans="4:8" ht="14.25" customHeight="1" x14ac:dyDescent="0.35">
      <c r="D119" s="26"/>
      <c r="F119" s="27"/>
      <c r="H119" s="27"/>
    </row>
    <row r="120" spans="4:8" ht="14.25" customHeight="1" x14ac:dyDescent="0.35">
      <c r="D120" s="26"/>
      <c r="F120" s="27"/>
      <c r="H120" s="27"/>
    </row>
    <row r="121" spans="4:8" ht="14.25" customHeight="1" x14ac:dyDescent="0.35">
      <c r="D121" s="26"/>
      <c r="F121" s="27"/>
      <c r="H121" s="27"/>
    </row>
    <row r="122" spans="4:8" ht="14.25" customHeight="1" x14ac:dyDescent="0.35">
      <c r="D122" s="26"/>
      <c r="F122" s="27"/>
      <c r="H122" s="27"/>
    </row>
    <row r="123" spans="4:8" ht="14.25" customHeight="1" x14ac:dyDescent="0.35">
      <c r="D123" s="26"/>
      <c r="F123" s="27"/>
      <c r="H123" s="27"/>
    </row>
    <row r="124" spans="4:8" ht="14.25" customHeight="1" x14ac:dyDescent="0.35">
      <c r="D124" s="26"/>
      <c r="F124" s="27"/>
      <c r="H124" s="27"/>
    </row>
    <row r="125" spans="4:8" ht="14.25" customHeight="1" x14ac:dyDescent="0.35">
      <c r="D125" s="26"/>
      <c r="F125" s="27"/>
      <c r="H125" s="27"/>
    </row>
    <row r="126" spans="4:8" ht="14.25" customHeight="1" x14ac:dyDescent="0.35">
      <c r="D126" s="26"/>
      <c r="F126" s="27"/>
      <c r="H126" s="27"/>
    </row>
    <row r="127" spans="4:8" ht="14.25" customHeight="1" x14ac:dyDescent="0.35">
      <c r="D127" s="26"/>
      <c r="F127" s="27"/>
      <c r="H127" s="27"/>
    </row>
    <row r="128" spans="4:8" ht="14.25" customHeight="1" x14ac:dyDescent="0.35">
      <c r="D128" s="26"/>
      <c r="F128" s="27"/>
      <c r="H128" s="27"/>
    </row>
    <row r="129" spans="4:8" ht="14.25" customHeight="1" x14ac:dyDescent="0.35">
      <c r="D129" s="26"/>
      <c r="F129" s="27"/>
      <c r="H129" s="27"/>
    </row>
    <row r="130" spans="4:8" ht="14.25" customHeight="1" x14ac:dyDescent="0.35">
      <c r="D130" s="26"/>
      <c r="F130" s="27"/>
      <c r="H130" s="27"/>
    </row>
    <row r="131" spans="4:8" ht="14.25" customHeight="1" x14ac:dyDescent="0.35">
      <c r="D131" s="26"/>
      <c r="F131" s="27"/>
      <c r="H131" s="27"/>
    </row>
    <row r="132" spans="4:8" ht="14.25" customHeight="1" x14ac:dyDescent="0.35">
      <c r="D132" s="26"/>
      <c r="F132" s="27"/>
      <c r="H132" s="27"/>
    </row>
    <row r="133" spans="4:8" ht="14.25" customHeight="1" x14ac:dyDescent="0.35">
      <c r="D133" s="26"/>
      <c r="F133" s="27"/>
      <c r="H133" s="27"/>
    </row>
    <row r="134" spans="4:8" ht="14.25" customHeight="1" x14ac:dyDescent="0.35">
      <c r="D134" s="26"/>
      <c r="F134" s="27"/>
      <c r="H134" s="27"/>
    </row>
    <row r="135" spans="4:8" ht="14.25" customHeight="1" x14ac:dyDescent="0.35">
      <c r="D135" s="26"/>
      <c r="F135" s="27"/>
      <c r="H135" s="27"/>
    </row>
    <row r="136" spans="4:8" ht="14.25" customHeight="1" x14ac:dyDescent="0.35">
      <c r="D136" s="26"/>
      <c r="F136" s="27"/>
      <c r="H136" s="27"/>
    </row>
    <row r="137" spans="4:8" ht="14.25" customHeight="1" x14ac:dyDescent="0.35">
      <c r="D137" s="26"/>
      <c r="F137" s="27"/>
      <c r="H137" s="27"/>
    </row>
    <row r="138" spans="4:8" ht="14.25" customHeight="1" x14ac:dyDescent="0.35">
      <c r="D138" s="26"/>
      <c r="F138" s="27"/>
      <c r="H138" s="27"/>
    </row>
    <row r="139" spans="4:8" ht="14.25" customHeight="1" x14ac:dyDescent="0.35">
      <c r="D139" s="26"/>
      <c r="F139" s="27"/>
      <c r="H139" s="27"/>
    </row>
    <row r="140" spans="4:8" ht="14.25" customHeight="1" x14ac:dyDescent="0.35">
      <c r="D140" s="26"/>
      <c r="F140" s="27"/>
      <c r="H140" s="27"/>
    </row>
    <row r="141" spans="4:8" ht="14.25" customHeight="1" x14ac:dyDescent="0.35">
      <c r="D141" s="26"/>
      <c r="F141" s="27"/>
      <c r="H141" s="27"/>
    </row>
    <row r="142" spans="4:8" ht="14.25" customHeight="1" x14ac:dyDescent="0.35">
      <c r="D142" s="26"/>
      <c r="F142" s="27"/>
      <c r="H142" s="27"/>
    </row>
    <row r="143" spans="4:8" ht="14.25" customHeight="1" x14ac:dyDescent="0.35">
      <c r="D143" s="26"/>
      <c r="F143" s="27"/>
      <c r="H143" s="27"/>
    </row>
    <row r="144" spans="4:8" ht="14.25" customHeight="1" x14ac:dyDescent="0.35">
      <c r="D144" s="26"/>
      <c r="F144" s="27"/>
      <c r="H144" s="27"/>
    </row>
    <row r="145" spans="4:8" ht="14.25" customHeight="1" x14ac:dyDescent="0.35">
      <c r="D145" s="26"/>
      <c r="F145" s="27"/>
      <c r="H145" s="27"/>
    </row>
    <row r="146" spans="4:8" ht="14.25" customHeight="1" x14ac:dyDescent="0.35">
      <c r="D146" s="26"/>
      <c r="F146" s="27"/>
      <c r="H146" s="27"/>
    </row>
    <row r="147" spans="4:8" ht="14.25" customHeight="1" x14ac:dyDescent="0.35">
      <c r="D147" s="26"/>
      <c r="F147" s="27"/>
      <c r="H147" s="27"/>
    </row>
    <row r="148" spans="4:8" ht="14.25" customHeight="1" x14ac:dyDescent="0.35">
      <c r="D148" s="26"/>
      <c r="F148" s="27"/>
      <c r="H148" s="27"/>
    </row>
    <row r="149" spans="4:8" ht="14.25" customHeight="1" x14ac:dyDescent="0.35">
      <c r="D149" s="26"/>
      <c r="F149" s="27"/>
      <c r="H149" s="27"/>
    </row>
    <row r="150" spans="4:8" ht="14.25" customHeight="1" x14ac:dyDescent="0.35">
      <c r="D150" s="26"/>
      <c r="F150" s="27"/>
      <c r="H150" s="27"/>
    </row>
    <row r="151" spans="4:8" ht="14.25" customHeight="1" x14ac:dyDescent="0.35">
      <c r="D151" s="26"/>
      <c r="F151" s="27"/>
      <c r="H151" s="27"/>
    </row>
    <row r="152" spans="4:8" ht="14.25" customHeight="1" x14ac:dyDescent="0.35">
      <c r="D152" s="26"/>
      <c r="F152" s="27"/>
      <c r="H152" s="27"/>
    </row>
    <row r="153" spans="4:8" ht="14.25" customHeight="1" x14ac:dyDescent="0.35">
      <c r="D153" s="26"/>
      <c r="F153" s="27"/>
      <c r="H153" s="27"/>
    </row>
    <row r="154" spans="4:8" ht="14.25" customHeight="1" x14ac:dyDescent="0.35">
      <c r="D154" s="26"/>
      <c r="F154" s="27"/>
      <c r="H154" s="27"/>
    </row>
    <row r="155" spans="4:8" ht="14.25" customHeight="1" x14ac:dyDescent="0.35">
      <c r="D155" s="26"/>
      <c r="F155" s="27"/>
      <c r="H155" s="27"/>
    </row>
    <row r="156" spans="4:8" ht="14.25" customHeight="1" x14ac:dyDescent="0.35">
      <c r="D156" s="26"/>
      <c r="F156" s="27"/>
      <c r="H156" s="27"/>
    </row>
    <row r="157" spans="4:8" ht="14.25" customHeight="1" x14ac:dyDescent="0.35">
      <c r="D157" s="26"/>
      <c r="F157" s="27"/>
      <c r="H157" s="27"/>
    </row>
    <row r="158" spans="4:8" ht="14.25" customHeight="1" x14ac:dyDescent="0.35">
      <c r="D158" s="26"/>
      <c r="F158" s="27"/>
      <c r="H158" s="27"/>
    </row>
    <row r="159" spans="4:8" ht="14.25" customHeight="1" x14ac:dyDescent="0.35">
      <c r="D159" s="26"/>
      <c r="F159" s="27"/>
      <c r="H159" s="27"/>
    </row>
    <row r="160" spans="4:8" ht="14.25" customHeight="1" x14ac:dyDescent="0.35">
      <c r="D160" s="26"/>
      <c r="F160" s="27"/>
      <c r="H160" s="27"/>
    </row>
    <row r="161" spans="4:8" ht="14.25" customHeight="1" x14ac:dyDescent="0.35">
      <c r="D161" s="26"/>
      <c r="F161" s="27"/>
      <c r="H161" s="27"/>
    </row>
    <row r="162" spans="4:8" ht="14.25" customHeight="1" x14ac:dyDescent="0.35">
      <c r="D162" s="26"/>
      <c r="F162" s="27"/>
      <c r="H162" s="27"/>
    </row>
    <row r="163" spans="4:8" ht="14.25" customHeight="1" x14ac:dyDescent="0.35">
      <c r="D163" s="26"/>
      <c r="F163" s="27"/>
      <c r="H163" s="27"/>
    </row>
    <row r="164" spans="4:8" ht="14.25" customHeight="1" x14ac:dyDescent="0.35">
      <c r="D164" s="26"/>
      <c r="F164" s="27"/>
      <c r="H164" s="27"/>
    </row>
    <row r="165" spans="4:8" ht="14.25" customHeight="1" x14ac:dyDescent="0.35">
      <c r="D165" s="26"/>
      <c r="F165" s="27"/>
      <c r="H165" s="27"/>
    </row>
    <row r="166" spans="4:8" ht="14.25" customHeight="1" x14ac:dyDescent="0.35">
      <c r="D166" s="26"/>
      <c r="F166" s="27"/>
      <c r="H166" s="27"/>
    </row>
    <row r="167" spans="4:8" ht="14.25" customHeight="1" x14ac:dyDescent="0.35">
      <c r="D167" s="26"/>
      <c r="F167" s="27"/>
      <c r="H167" s="27"/>
    </row>
    <row r="168" spans="4:8" ht="14.25" customHeight="1" x14ac:dyDescent="0.35">
      <c r="D168" s="26"/>
      <c r="F168" s="27"/>
      <c r="H168" s="27"/>
    </row>
    <row r="169" spans="4:8" ht="14.25" customHeight="1" x14ac:dyDescent="0.35">
      <c r="D169" s="26"/>
      <c r="F169" s="27"/>
      <c r="H169" s="27"/>
    </row>
    <row r="170" spans="4:8" ht="14.25" customHeight="1" x14ac:dyDescent="0.35">
      <c r="D170" s="26"/>
      <c r="F170" s="27"/>
      <c r="H170" s="27"/>
    </row>
    <row r="171" spans="4:8" ht="14.25" customHeight="1" x14ac:dyDescent="0.35">
      <c r="D171" s="26"/>
      <c r="F171" s="27"/>
      <c r="H171" s="27"/>
    </row>
    <row r="172" spans="4:8" ht="14.25" customHeight="1" x14ac:dyDescent="0.35">
      <c r="D172" s="26"/>
      <c r="F172" s="27"/>
      <c r="H172" s="27"/>
    </row>
    <row r="173" spans="4:8" ht="14.25" customHeight="1" x14ac:dyDescent="0.35">
      <c r="D173" s="26"/>
      <c r="F173" s="27"/>
      <c r="H173" s="27"/>
    </row>
    <row r="174" spans="4:8" ht="14.25" customHeight="1" x14ac:dyDescent="0.35">
      <c r="D174" s="26"/>
      <c r="F174" s="27"/>
      <c r="H174" s="27"/>
    </row>
    <row r="175" spans="4:8" ht="14.25" customHeight="1" x14ac:dyDescent="0.35">
      <c r="D175" s="26"/>
      <c r="F175" s="27"/>
      <c r="H175" s="27"/>
    </row>
    <row r="176" spans="4:8" ht="14.25" customHeight="1" x14ac:dyDescent="0.35">
      <c r="D176" s="26"/>
      <c r="F176" s="27"/>
      <c r="H176" s="27"/>
    </row>
    <row r="177" spans="4:8" ht="14.25" customHeight="1" x14ac:dyDescent="0.35">
      <c r="D177" s="26"/>
      <c r="F177" s="27"/>
      <c r="H177" s="27"/>
    </row>
    <row r="178" spans="4:8" ht="14.25" customHeight="1" x14ac:dyDescent="0.35">
      <c r="D178" s="26"/>
      <c r="F178" s="27"/>
      <c r="H178" s="27"/>
    </row>
    <row r="179" spans="4:8" ht="14.25" customHeight="1" x14ac:dyDescent="0.35">
      <c r="D179" s="26"/>
      <c r="F179" s="27"/>
      <c r="H179" s="27"/>
    </row>
    <row r="180" spans="4:8" ht="14.25" customHeight="1" x14ac:dyDescent="0.35">
      <c r="D180" s="26"/>
      <c r="F180" s="27"/>
      <c r="H180" s="27"/>
    </row>
    <row r="181" spans="4:8" ht="14.25" customHeight="1" x14ac:dyDescent="0.35">
      <c r="D181" s="26"/>
      <c r="F181" s="27"/>
      <c r="H181" s="27"/>
    </row>
    <row r="182" spans="4:8" ht="14.25" customHeight="1" x14ac:dyDescent="0.35">
      <c r="D182" s="26"/>
      <c r="F182" s="27"/>
      <c r="H182" s="27"/>
    </row>
    <row r="183" spans="4:8" ht="14.25" customHeight="1" x14ac:dyDescent="0.35">
      <c r="D183" s="26"/>
      <c r="F183" s="27"/>
      <c r="H183" s="27"/>
    </row>
    <row r="184" spans="4:8" ht="14.25" customHeight="1" x14ac:dyDescent="0.35">
      <c r="D184" s="26"/>
      <c r="F184" s="27"/>
      <c r="H184" s="27"/>
    </row>
    <row r="185" spans="4:8" ht="14.25" customHeight="1" x14ac:dyDescent="0.35">
      <c r="D185" s="26"/>
      <c r="F185" s="27"/>
      <c r="H185" s="27"/>
    </row>
    <row r="186" spans="4:8" ht="14.25" customHeight="1" x14ac:dyDescent="0.35">
      <c r="D186" s="26"/>
      <c r="F186" s="27"/>
      <c r="H186" s="27"/>
    </row>
    <row r="187" spans="4:8" ht="14.25" customHeight="1" x14ac:dyDescent="0.35">
      <c r="D187" s="26"/>
      <c r="F187" s="27"/>
      <c r="H187" s="27"/>
    </row>
    <row r="188" spans="4:8" ht="14.25" customHeight="1" x14ac:dyDescent="0.35">
      <c r="D188" s="26"/>
      <c r="F188" s="27"/>
      <c r="H188" s="27"/>
    </row>
    <row r="189" spans="4:8" ht="14.25" customHeight="1" x14ac:dyDescent="0.35">
      <c r="D189" s="26"/>
      <c r="F189" s="27"/>
      <c r="H189" s="27"/>
    </row>
    <row r="190" spans="4:8" ht="14.25" customHeight="1" x14ac:dyDescent="0.35">
      <c r="D190" s="26"/>
      <c r="F190" s="27"/>
      <c r="H190" s="27"/>
    </row>
    <row r="191" spans="4:8" ht="14.25" customHeight="1" x14ac:dyDescent="0.35">
      <c r="D191" s="26"/>
      <c r="F191" s="27"/>
      <c r="H191" s="27"/>
    </row>
    <row r="192" spans="4:8" ht="14.25" customHeight="1" x14ac:dyDescent="0.35">
      <c r="D192" s="26"/>
      <c r="F192" s="27"/>
      <c r="H192" s="27"/>
    </row>
    <row r="193" spans="4:8" ht="14.25" customHeight="1" x14ac:dyDescent="0.35">
      <c r="D193" s="26"/>
      <c r="F193" s="27"/>
      <c r="H193" s="27"/>
    </row>
    <row r="194" spans="4:8" ht="14.25" customHeight="1" x14ac:dyDescent="0.35">
      <c r="D194" s="26"/>
      <c r="F194" s="27"/>
      <c r="H194" s="27"/>
    </row>
    <row r="195" spans="4:8" ht="14.25" customHeight="1" x14ac:dyDescent="0.35">
      <c r="D195" s="26"/>
      <c r="F195" s="27"/>
      <c r="H195" s="27"/>
    </row>
    <row r="196" spans="4:8" ht="14.25" customHeight="1" x14ac:dyDescent="0.35">
      <c r="D196" s="26"/>
      <c r="F196" s="27"/>
      <c r="H196" s="27"/>
    </row>
    <row r="197" spans="4:8" ht="14.25" customHeight="1" x14ac:dyDescent="0.35">
      <c r="D197" s="26"/>
      <c r="F197" s="27"/>
      <c r="H197" s="27"/>
    </row>
    <row r="198" spans="4:8" ht="14.25" customHeight="1" x14ac:dyDescent="0.35">
      <c r="D198" s="26"/>
      <c r="F198" s="27"/>
      <c r="H198" s="27"/>
    </row>
    <row r="199" spans="4:8" ht="14.25" customHeight="1" x14ac:dyDescent="0.35">
      <c r="D199" s="26"/>
      <c r="F199" s="27"/>
      <c r="H199" s="27"/>
    </row>
    <row r="200" spans="4:8" ht="14.25" customHeight="1" x14ac:dyDescent="0.35">
      <c r="D200" s="26"/>
      <c r="F200" s="27"/>
      <c r="H200" s="27"/>
    </row>
    <row r="201" spans="4:8" ht="14.25" customHeight="1" x14ac:dyDescent="0.35">
      <c r="D201" s="26"/>
      <c r="F201" s="27"/>
      <c r="H201" s="27"/>
    </row>
    <row r="202" spans="4:8" ht="14.25" customHeight="1" x14ac:dyDescent="0.35">
      <c r="D202" s="26"/>
      <c r="F202" s="27"/>
      <c r="H202" s="27"/>
    </row>
    <row r="203" spans="4:8" ht="14.25" customHeight="1" x14ac:dyDescent="0.35">
      <c r="D203" s="26"/>
      <c r="F203" s="27"/>
      <c r="H203" s="27"/>
    </row>
    <row r="204" spans="4:8" ht="14.25" customHeight="1" x14ac:dyDescent="0.35">
      <c r="D204" s="26"/>
      <c r="F204" s="27"/>
      <c r="H204" s="27"/>
    </row>
    <row r="205" spans="4:8" ht="14.25" customHeight="1" x14ac:dyDescent="0.35">
      <c r="D205" s="26"/>
      <c r="F205" s="27"/>
      <c r="H205" s="27"/>
    </row>
    <row r="206" spans="4:8" ht="14.25" customHeight="1" x14ac:dyDescent="0.35">
      <c r="D206" s="26"/>
      <c r="F206" s="27"/>
      <c r="H206" s="27"/>
    </row>
    <row r="207" spans="4:8" ht="14.25" customHeight="1" x14ac:dyDescent="0.35">
      <c r="D207" s="26"/>
      <c r="F207" s="27"/>
      <c r="H207" s="27"/>
    </row>
    <row r="208" spans="4:8" ht="14.25" customHeight="1" x14ac:dyDescent="0.35">
      <c r="D208" s="26"/>
      <c r="F208" s="27"/>
      <c r="H208" s="27"/>
    </row>
    <row r="209" spans="4:8" ht="14.25" customHeight="1" x14ac:dyDescent="0.35">
      <c r="D209" s="26"/>
      <c r="F209" s="27"/>
      <c r="H209" s="27"/>
    </row>
    <row r="210" spans="4:8" ht="14.25" customHeight="1" x14ac:dyDescent="0.35">
      <c r="D210" s="26"/>
      <c r="F210" s="27"/>
      <c r="H210" s="27"/>
    </row>
    <row r="211" spans="4:8" ht="14.25" customHeight="1" x14ac:dyDescent="0.35">
      <c r="D211" s="26"/>
      <c r="F211" s="27"/>
      <c r="H211" s="27"/>
    </row>
    <row r="212" spans="4:8" ht="14.25" customHeight="1" x14ac:dyDescent="0.35">
      <c r="D212" s="26"/>
      <c r="F212" s="27"/>
      <c r="H212" s="27"/>
    </row>
    <row r="213" spans="4:8" ht="14.25" customHeight="1" x14ac:dyDescent="0.35">
      <c r="D213" s="26"/>
      <c r="F213" s="27"/>
      <c r="H213" s="27"/>
    </row>
    <row r="214" spans="4:8" ht="14.25" customHeight="1" x14ac:dyDescent="0.35">
      <c r="D214" s="26"/>
      <c r="F214" s="27"/>
      <c r="H214" s="27"/>
    </row>
    <row r="215" spans="4:8" ht="14.25" customHeight="1" x14ac:dyDescent="0.35">
      <c r="D215" s="26"/>
      <c r="F215" s="27"/>
      <c r="H215" s="27"/>
    </row>
    <row r="216" spans="4:8" ht="14.25" customHeight="1" x14ac:dyDescent="0.35">
      <c r="D216" s="26"/>
      <c r="F216" s="27"/>
      <c r="H216" s="27"/>
    </row>
    <row r="217" spans="4:8" ht="14.25" customHeight="1" x14ac:dyDescent="0.35">
      <c r="D217" s="26"/>
      <c r="F217" s="27"/>
      <c r="H217" s="27"/>
    </row>
    <row r="218" spans="4:8" ht="14.25" customHeight="1" x14ac:dyDescent="0.35">
      <c r="D218" s="26"/>
      <c r="F218" s="27"/>
      <c r="H218" s="27"/>
    </row>
    <row r="219" spans="4:8" ht="14.25" customHeight="1" x14ac:dyDescent="0.35">
      <c r="D219" s="26"/>
      <c r="F219" s="27"/>
      <c r="H219" s="27"/>
    </row>
    <row r="220" spans="4:8" ht="14.25" customHeight="1" x14ac:dyDescent="0.35">
      <c r="D220" s="26"/>
      <c r="F220" s="27"/>
      <c r="H220" s="27"/>
    </row>
    <row r="221" spans="4:8" ht="14.25" customHeight="1" x14ac:dyDescent="0.35">
      <c r="D221" s="26"/>
      <c r="F221" s="27"/>
      <c r="H221" s="27"/>
    </row>
    <row r="222" spans="4:8" ht="14.25" customHeight="1" x14ac:dyDescent="0.35">
      <c r="D222" s="26"/>
      <c r="F222" s="27"/>
      <c r="H222" s="27"/>
    </row>
    <row r="223" spans="4:8" ht="14.25" customHeight="1" x14ac:dyDescent="0.35">
      <c r="D223" s="26"/>
      <c r="F223" s="27"/>
      <c r="H223" s="27"/>
    </row>
    <row r="224" spans="4:8" ht="14.25" customHeight="1" x14ac:dyDescent="0.35">
      <c r="D224" s="26"/>
      <c r="F224" s="27"/>
      <c r="H224" s="27"/>
    </row>
    <row r="225" spans="4:8" ht="14.25" customHeight="1" x14ac:dyDescent="0.35">
      <c r="D225" s="26"/>
      <c r="F225" s="27"/>
      <c r="H225" s="27"/>
    </row>
    <row r="226" spans="4:8" ht="14.25" customHeight="1" x14ac:dyDescent="0.35">
      <c r="D226" s="26"/>
      <c r="F226" s="27"/>
      <c r="H226" s="27"/>
    </row>
    <row r="227" spans="4:8" ht="14.25" customHeight="1" x14ac:dyDescent="0.35">
      <c r="D227" s="26"/>
      <c r="F227" s="27"/>
      <c r="H227" s="27"/>
    </row>
    <row r="228" spans="4:8" ht="14.25" customHeight="1" x14ac:dyDescent="0.35">
      <c r="D228" s="26"/>
      <c r="F228" s="27"/>
      <c r="H228" s="27"/>
    </row>
    <row r="229" spans="4:8" ht="14.25" customHeight="1" x14ac:dyDescent="0.35">
      <c r="D229" s="26"/>
      <c r="F229" s="27"/>
      <c r="H229" s="27"/>
    </row>
    <row r="230" spans="4:8" ht="14.25" customHeight="1" x14ac:dyDescent="0.35">
      <c r="D230" s="26"/>
      <c r="F230" s="27"/>
      <c r="H230" s="27"/>
    </row>
    <row r="231" spans="4:8" ht="14.25" customHeight="1" x14ac:dyDescent="0.35">
      <c r="D231" s="26"/>
      <c r="F231" s="27"/>
      <c r="H231" s="27"/>
    </row>
    <row r="232" spans="4:8" ht="14.25" customHeight="1" x14ac:dyDescent="0.35">
      <c r="D232" s="26"/>
      <c r="F232" s="27"/>
      <c r="H232" s="27"/>
    </row>
    <row r="233" spans="4:8" ht="14.25" customHeight="1" x14ac:dyDescent="0.35">
      <c r="D233" s="26"/>
      <c r="F233" s="27"/>
      <c r="H233" s="27"/>
    </row>
    <row r="234" spans="4:8" ht="14.25" customHeight="1" x14ac:dyDescent="0.35">
      <c r="D234" s="26"/>
      <c r="F234" s="27"/>
      <c r="H234" s="27"/>
    </row>
    <row r="235" spans="4:8" ht="14.25" customHeight="1" x14ac:dyDescent="0.35">
      <c r="D235" s="26"/>
      <c r="F235" s="27"/>
      <c r="H235" s="27"/>
    </row>
    <row r="236" spans="4:8" ht="14.25" customHeight="1" x14ac:dyDescent="0.35">
      <c r="D236" s="26"/>
      <c r="F236" s="27"/>
      <c r="H236" s="27"/>
    </row>
    <row r="237" spans="4:8" ht="14.25" customHeight="1" x14ac:dyDescent="0.35">
      <c r="D237" s="26"/>
      <c r="F237" s="27"/>
      <c r="H237" s="27"/>
    </row>
    <row r="238" spans="4:8" ht="14.25" customHeight="1" x14ac:dyDescent="0.35">
      <c r="D238" s="26"/>
      <c r="F238" s="27"/>
      <c r="H238" s="27"/>
    </row>
    <row r="239" spans="4:8" ht="14.25" customHeight="1" x14ac:dyDescent="0.35">
      <c r="D239" s="26"/>
      <c r="F239" s="27"/>
      <c r="H239" s="27"/>
    </row>
    <row r="240" spans="4:8" ht="14.25" customHeight="1" x14ac:dyDescent="0.35">
      <c r="D240" s="26"/>
      <c r="F240" s="27"/>
      <c r="H240" s="27"/>
    </row>
    <row r="241" spans="4:8" ht="14.25" customHeight="1" x14ac:dyDescent="0.35">
      <c r="D241" s="26"/>
      <c r="F241" s="27"/>
      <c r="H241" s="27"/>
    </row>
    <row r="242" spans="4:8" ht="14.25" customHeight="1" x14ac:dyDescent="0.35">
      <c r="D242" s="26"/>
      <c r="F242" s="27"/>
      <c r="H242" s="27"/>
    </row>
    <row r="243" spans="4:8" ht="14.25" customHeight="1" x14ac:dyDescent="0.35">
      <c r="D243" s="26"/>
      <c r="F243" s="27"/>
      <c r="H243" s="27"/>
    </row>
    <row r="244" spans="4:8" ht="14.25" customHeight="1" x14ac:dyDescent="0.35">
      <c r="D244" s="26"/>
      <c r="F244" s="27"/>
      <c r="H244" s="27"/>
    </row>
    <row r="245" spans="4:8" ht="14.25" customHeight="1" x14ac:dyDescent="0.35">
      <c r="D245" s="26"/>
      <c r="F245" s="27"/>
      <c r="H245" s="27"/>
    </row>
    <row r="246" spans="4:8" ht="14.25" customHeight="1" x14ac:dyDescent="0.35">
      <c r="D246" s="26"/>
      <c r="F246" s="27"/>
      <c r="H246" s="27"/>
    </row>
    <row r="247" spans="4:8" ht="14.25" customHeight="1" x14ac:dyDescent="0.35">
      <c r="D247" s="26"/>
      <c r="F247" s="27"/>
      <c r="H247" s="27"/>
    </row>
    <row r="248" spans="4:8" ht="14.25" customHeight="1" x14ac:dyDescent="0.35">
      <c r="D248" s="26"/>
      <c r="F248" s="27"/>
      <c r="H248" s="27"/>
    </row>
    <row r="249" spans="4:8" ht="14.25" customHeight="1" x14ac:dyDescent="0.35">
      <c r="D249" s="26"/>
      <c r="F249" s="27"/>
      <c r="H249" s="27"/>
    </row>
    <row r="250" spans="4:8" ht="14.25" customHeight="1" x14ac:dyDescent="0.35">
      <c r="D250" s="26"/>
      <c r="F250" s="27"/>
      <c r="H250" s="27"/>
    </row>
    <row r="251" spans="4:8" ht="14.25" customHeight="1" x14ac:dyDescent="0.35">
      <c r="D251" s="26"/>
      <c r="F251" s="27"/>
      <c r="H251" s="27"/>
    </row>
    <row r="252" spans="4:8" ht="14.25" customHeight="1" x14ac:dyDescent="0.35">
      <c r="D252" s="26"/>
      <c r="F252" s="27"/>
      <c r="H252" s="27"/>
    </row>
    <row r="253" spans="4:8" ht="14.25" customHeight="1" x14ac:dyDescent="0.35">
      <c r="D253" s="26"/>
      <c r="F253" s="27"/>
      <c r="H253" s="27"/>
    </row>
    <row r="254" spans="4:8" ht="14.25" customHeight="1" x14ac:dyDescent="0.35">
      <c r="D254" s="26"/>
      <c r="F254" s="27"/>
      <c r="H254" s="27"/>
    </row>
    <row r="255" spans="4:8" ht="14.25" customHeight="1" x14ac:dyDescent="0.35">
      <c r="D255" s="26"/>
      <c r="F255" s="27"/>
      <c r="H255" s="27"/>
    </row>
    <row r="256" spans="4:8" ht="14.25" customHeight="1" x14ac:dyDescent="0.35">
      <c r="D256" s="26"/>
      <c r="F256" s="27"/>
      <c r="H256" s="27"/>
    </row>
    <row r="257" spans="4:8" ht="14.25" customHeight="1" x14ac:dyDescent="0.35">
      <c r="D257" s="26"/>
      <c r="F257" s="27"/>
      <c r="H257" s="27"/>
    </row>
    <row r="258" spans="4:8" ht="14.25" customHeight="1" x14ac:dyDescent="0.35">
      <c r="D258" s="26"/>
      <c r="F258" s="27"/>
      <c r="H258" s="27"/>
    </row>
    <row r="259" spans="4:8" ht="14.25" customHeight="1" x14ac:dyDescent="0.35">
      <c r="D259" s="26"/>
      <c r="F259" s="27"/>
      <c r="H259" s="27"/>
    </row>
    <row r="260" spans="4:8" ht="14.25" customHeight="1" x14ac:dyDescent="0.35">
      <c r="D260" s="26"/>
      <c r="F260" s="27"/>
      <c r="H260" s="27"/>
    </row>
    <row r="261" spans="4:8" ht="14.25" customHeight="1" x14ac:dyDescent="0.35">
      <c r="D261" s="26"/>
      <c r="F261" s="27"/>
      <c r="H261" s="27"/>
    </row>
    <row r="262" spans="4:8" ht="14.25" customHeight="1" x14ac:dyDescent="0.35">
      <c r="D262" s="26"/>
      <c r="F262" s="27"/>
      <c r="H262" s="27"/>
    </row>
    <row r="263" spans="4:8" ht="14.25" customHeight="1" x14ac:dyDescent="0.35">
      <c r="D263" s="26"/>
      <c r="F263" s="27"/>
      <c r="H263" s="27"/>
    </row>
    <row r="264" spans="4:8" ht="14.25" customHeight="1" x14ac:dyDescent="0.35">
      <c r="D264" s="26"/>
      <c r="F264" s="27"/>
      <c r="H264" s="27"/>
    </row>
    <row r="265" spans="4:8" ht="14.25" customHeight="1" x14ac:dyDescent="0.35">
      <c r="D265" s="26"/>
      <c r="F265" s="27"/>
      <c r="H265" s="27"/>
    </row>
    <row r="266" spans="4:8" ht="14.25" customHeight="1" x14ac:dyDescent="0.35">
      <c r="D266" s="26"/>
      <c r="F266" s="27"/>
      <c r="H266" s="27"/>
    </row>
    <row r="267" spans="4:8" ht="14.25" customHeight="1" x14ac:dyDescent="0.35">
      <c r="D267" s="26"/>
      <c r="F267" s="27"/>
      <c r="H267" s="27"/>
    </row>
    <row r="268" spans="4:8" ht="14.25" customHeight="1" x14ac:dyDescent="0.35">
      <c r="D268" s="26"/>
      <c r="F268" s="27"/>
      <c r="H268" s="27"/>
    </row>
    <row r="269" spans="4:8" ht="14.25" customHeight="1" x14ac:dyDescent="0.35">
      <c r="D269" s="26"/>
      <c r="F269" s="27"/>
      <c r="H269" s="27"/>
    </row>
    <row r="270" spans="4:8" ht="14.25" customHeight="1" x14ac:dyDescent="0.35">
      <c r="D270" s="26"/>
      <c r="F270" s="27"/>
      <c r="H270" s="27"/>
    </row>
    <row r="271" spans="4:8" ht="14.25" customHeight="1" x14ac:dyDescent="0.35">
      <c r="D271" s="26"/>
      <c r="F271" s="27"/>
      <c r="H271" s="27"/>
    </row>
    <row r="272" spans="4:8" ht="14.25" customHeight="1" x14ac:dyDescent="0.35">
      <c r="D272" s="26"/>
      <c r="F272" s="27"/>
      <c r="H272" s="27"/>
    </row>
    <row r="273" spans="4:8" ht="14.25" customHeight="1" x14ac:dyDescent="0.35">
      <c r="D273" s="26"/>
      <c r="F273" s="27"/>
      <c r="H273" s="27"/>
    </row>
    <row r="274" spans="4:8" ht="14.25" customHeight="1" x14ac:dyDescent="0.35">
      <c r="D274" s="26"/>
      <c r="F274" s="27"/>
      <c r="H274" s="27"/>
    </row>
    <row r="275" spans="4:8" ht="14.25" customHeight="1" x14ac:dyDescent="0.35">
      <c r="D275" s="26"/>
      <c r="F275" s="27"/>
      <c r="H275" s="27"/>
    </row>
    <row r="276" spans="4:8" ht="14.25" customHeight="1" x14ac:dyDescent="0.35">
      <c r="D276" s="26"/>
      <c r="F276" s="27"/>
      <c r="H276" s="27"/>
    </row>
    <row r="277" spans="4:8" ht="14.25" customHeight="1" x14ac:dyDescent="0.35">
      <c r="D277" s="26"/>
      <c r="F277" s="27"/>
      <c r="H277" s="27"/>
    </row>
    <row r="278" spans="4:8" ht="14.25" customHeight="1" x14ac:dyDescent="0.35">
      <c r="D278" s="26"/>
      <c r="F278" s="27"/>
      <c r="H278" s="27"/>
    </row>
    <row r="279" spans="4:8" ht="14.25" customHeight="1" x14ac:dyDescent="0.35">
      <c r="D279" s="26"/>
      <c r="F279" s="27"/>
      <c r="H279" s="27"/>
    </row>
    <row r="280" spans="4:8" ht="14.25" customHeight="1" x14ac:dyDescent="0.35">
      <c r="D280" s="26"/>
      <c r="F280" s="27"/>
      <c r="H280" s="27"/>
    </row>
    <row r="281" spans="4:8" ht="14.25" customHeight="1" x14ac:dyDescent="0.35">
      <c r="D281" s="26"/>
      <c r="F281" s="27"/>
      <c r="H281" s="27"/>
    </row>
    <row r="282" spans="4:8" ht="14.25" customHeight="1" x14ac:dyDescent="0.35">
      <c r="D282" s="26"/>
      <c r="F282" s="27"/>
      <c r="H282" s="27"/>
    </row>
    <row r="283" spans="4:8" ht="14.25" customHeight="1" x14ac:dyDescent="0.35">
      <c r="D283" s="26"/>
      <c r="F283" s="27"/>
      <c r="H283" s="27"/>
    </row>
    <row r="284" spans="4:8" ht="14.25" customHeight="1" x14ac:dyDescent="0.35">
      <c r="D284" s="26"/>
      <c r="F284" s="27"/>
      <c r="H284" s="27"/>
    </row>
    <row r="285" spans="4:8" ht="14.25" customHeight="1" x14ac:dyDescent="0.35">
      <c r="D285" s="26"/>
      <c r="F285" s="27"/>
      <c r="H285" s="27"/>
    </row>
    <row r="286" spans="4:8" ht="14.25" customHeight="1" x14ac:dyDescent="0.35">
      <c r="D286" s="26"/>
      <c r="F286" s="27"/>
      <c r="H286" s="27"/>
    </row>
    <row r="287" spans="4:8" ht="14.25" customHeight="1" x14ac:dyDescent="0.35">
      <c r="D287" s="26"/>
      <c r="F287" s="27"/>
      <c r="H287" s="27"/>
    </row>
    <row r="288" spans="4:8" ht="14.25" customHeight="1" x14ac:dyDescent="0.35">
      <c r="D288" s="26"/>
      <c r="F288" s="27"/>
      <c r="H288" s="27"/>
    </row>
    <row r="289" spans="4:8" ht="14.25" customHeight="1" x14ac:dyDescent="0.35">
      <c r="D289" s="26"/>
      <c r="F289" s="27"/>
      <c r="H289" s="27"/>
    </row>
    <row r="290" spans="4:8" ht="14.25" customHeight="1" x14ac:dyDescent="0.35">
      <c r="D290" s="26"/>
      <c r="F290" s="27"/>
      <c r="H290" s="27"/>
    </row>
    <row r="291" spans="4:8" ht="14.25" customHeight="1" x14ac:dyDescent="0.35">
      <c r="D291" s="26"/>
      <c r="F291" s="27"/>
      <c r="H291" s="27"/>
    </row>
    <row r="292" spans="4:8" ht="14.25" customHeight="1" x14ac:dyDescent="0.35">
      <c r="D292" s="26"/>
      <c r="F292" s="27"/>
      <c r="H292" s="27"/>
    </row>
    <row r="293" spans="4:8" ht="14.25" customHeight="1" x14ac:dyDescent="0.35">
      <c r="D293" s="26"/>
      <c r="F293" s="27"/>
      <c r="H293" s="27"/>
    </row>
    <row r="294" spans="4:8" ht="14.25" customHeight="1" x14ac:dyDescent="0.35">
      <c r="D294" s="26"/>
      <c r="F294" s="27"/>
      <c r="H294" s="27"/>
    </row>
    <row r="295" spans="4:8" ht="14.25" customHeight="1" x14ac:dyDescent="0.35">
      <c r="D295" s="26"/>
      <c r="F295" s="27"/>
      <c r="H295" s="27"/>
    </row>
    <row r="296" spans="4:8" ht="14.25" customHeight="1" x14ac:dyDescent="0.35">
      <c r="D296" s="26"/>
      <c r="F296" s="27"/>
      <c r="H296" s="27"/>
    </row>
    <row r="297" spans="4:8" ht="14.25" customHeight="1" x14ac:dyDescent="0.35">
      <c r="D297" s="26"/>
      <c r="F297" s="27"/>
      <c r="H297" s="27"/>
    </row>
    <row r="298" spans="4:8" ht="14.25" customHeight="1" x14ac:dyDescent="0.35">
      <c r="D298" s="26"/>
      <c r="F298" s="27"/>
      <c r="H298" s="27"/>
    </row>
    <row r="299" spans="4:8" ht="14.25" customHeight="1" x14ac:dyDescent="0.35">
      <c r="D299" s="26"/>
      <c r="F299" s="27"/>
      <c r="H299" s="27"/>
    </row>
    <row r="300" spans="4:8" ht="14.25" customHeight="1" x14ac:dyDescent="0.35">
      <c r="D300" s="26"/>
      <c r="F300" s="27"/>
      <c r="H300" s="27"/>
    </row>
    <row r="301" spans="4:8" ht="14.25" customHeight="1" x14ac:dyDescent="0.35">
      <c r="D301" s="26"/>
      <c r="F301" s="27"/>
      <c r="H301" s="27"/>
    </row>
    <row r="302" spans="4:8" ht="14.25" customHeight="1" x14ac:dyDescent="0.35">
      <c r="D302" s="26"/>
      <c r="F302" s="27"/>
      <c r="H302" s="27"/>
    </row>
    <row r="303" spans="4:8" ht="14.25" customHeight="1" x14ac:dyDescent="0.35">
      <c r="D303" s="26"/>
      <c r="F303" s="27"/>
      <c r="H303" s="27"/>
    </row>
    <row r="304" spans="4:8" ht="14.25" customHeight="1" x14ac:dyDescent="0.35">
      <c r="D304" s="26"/>
      <c r="F304" s="27"/>
      <c r="H304" s="27"/>
    </row>
    <row r="305" spans="4:8" ht="14.25" customHeight="1" x14ac:dyDescent="0.35">
      <c r="D305" s="26"/>
      <c r="F305" s="27"/>
      <c r="H305" s="27"/>
    </row>
    <row r="306" spans="4:8" ht="14.25" customHeight="1" x14ac:dyDescent="0.35">
      <c r="D306" s="26"/>
      <c r="F306" s="27"/>
      <c r="H306" s="27"/>
    </row>
    <row r="307" spans="4:8" ht="14.25" customHeight="1" x14ac:dyDescent="0.35">
      <c r="D307" s="26"/>
      <c r="F307" s="27"/>
      <c r="H307" s="27"/>
    </row>
    <row r="308" spans="4:8" ht="14.25" customHeight="1" x14ac:dyDescent="0.35">
      <c r="D308" s="26"/>
      <c r="F308" s="27"/>
      <c r="H308" s="27"/>
    </row>
    <row r="309" spans="4:8" ht="14.25" customHeight="1" x14ac:dyDescent="0.35">
      <c r="D309" s="26"/>
      <c r="F309" s="27"/>
      <c r="H309" s="27"/>
    </row>
    <row r="310" spans="4:8" ht="14.25" customHeight="1" x14ac:dyDescent="0.35">
      <c r="D310" s="26"/>
      <c r="F310" s="27"/>
      <c r="H310" s="27"/>
    </row>
    <row r="311" spans="4:8" ht="14.25" customHeight="1" x14ac:dyDescent="0.35">
      <c r="D311" s="26"/>
      <c r="F311" s="27"/>
      <c r="H311" s="27"/>
    </row>
    <row r="312" spans="4:8" ht="14.25" customHeight="1" x14ac:dyDescent="0.35">
      <c r="D312" s="26"/>
      <c r="F312" s="27"/>
      <c r="H312" s="27"/>
    </row>
    <row r="313" spans="4:8" ht="14.25" customHeight="1" x14ac:dyDescent="0.35">
      <c r="D313" s="26"/>
      <c r="F313" s="27"/>
      <c r="H313" s="27"/>
    </row>
    <row r="314" spans="4:8" ht="14.25" customHeight="1" x14ac:dyDescent="0.35">
      <c r="D314" s="26"/>
      <c r="F314" s="27"/>
      <c r="H314" s="27"/>
    </row>
    <row r="315" spans="4:8" ht="14.25" customHeight="1" x14ac:dyDescent="0.35">
      <c r="D315" s="26"/>
      <c r="F315" s="27"/>
      <c r="H315" s="27"/>
    </row>
    <row r="316" spans="4:8" ht="14.25" customHeight="1" x14ac:dyDescent="0.35">
      <c r="D316" s="26"/>
      <c r="F316" s="27"/>
      <c r="H316" s="27"/>
    </row>
    <row r="317" spans="4:8" ht="14.25" customHeight="1" x14ac:dyDescent="0.35">
      <c r="D317" s="26"/>
      <c r="F317" s="27"/>
      <c r="H317" s="27"/>
    </row>
    <row r="318" spans="4:8" ht="14.25" customHeight="1" x14ac:dyDescent="0.35">
      <c r="D318" s="26"/>
      <c r="F318" s="27"/>
      <c r="H318" s="27"/>
    </row>
    <row r="319" spans="4:8" ht="14.25" customHeight="1" x14ac:dyDescent="0.35">
      <c r="D319" s="26"/>
      <c r="F319" s="27"/>
      <c r="H319" s="27"/>
    </row>
    <row r="320" spans="4:8" ht="14.25" customHeight="1" x14ac:dyDescent="0.35">
      <c r="D320" s="26"/>
      <c r="F320" s="27"/>
      <c r="H320" s="27"/>
    </row>
    <row r="321" spans="4:8" ht="14.25" customHeight="1" x14ac:dyDescent="0.35">
      <c r="D321" s="26"/>
      <c r="F321" s="27"/>
      <c r="H321" s="27"/>
    </row>
    <row r="322" spans="4:8" ht="14.25" customHeight="1" x14ac:dyDescent="0.35">
      <c r="D322" s="26"/>
      <c r="F322" s="27"/>
      <c r="H322" s="27"/>
    </row>
    <row r="323" spans="4:8" ht="14.25" customHeight="1" x14ac:dyDescent="0.35">
      <c r="D323" s="26"/>
      <c r="F323" s="27"/>
      <c r="H323" s="27"/>
    </row>
    <row r="324" spans="4:8" ht="14.25" customHeight="1" x14ac:dyDescent="0.35">
      <c r="D324" s="26"/>
      <c r="F324" s="27"/>
      <c r="H324" s="27"/>
    </row>
    <row r="325" spans="4:8" ht="14.25" customHeight="1" x14ac:dyDescent="0.35">
      <c r="D325" s="26"/>
      <c r="F325" s="27"/>
      <c r="H325" s="27"/>
    </row>
    <row r="326" spans="4:8" ht="14.25" customHeight="1" x14ac:dyDescent="0.35">
      <c r="D326" s="26"/>
      <c r="F326" s="27"/>
      <c r="H326" s="27"/>
    </row>
    <row r="327" spans="4:8" ht="14.25" customHeight="1" x14ac:dyDescent="0.35">
      <c r="D327" s="26"/>
      <c r="F327" s="27"/>
      <c r="H327" s="27"/>
    </row>
    <row r="328" spans="4:8" ht="14.25" customHeight="1" x14ac:dyDescent="0.35">
      <c r="D328" s="26"/>
      <c r="F328" s="27"/>
      <c r="H328" s="27"/>
    </row>
    <row r="329" spans="4:8" ht="14.25" customHeight="1" x14ac:dyDescent="0.35">
      <c r="D329" s="26"/>
      <c r="F329" s="27"/>
      <c r="H329" s="27"/>
    </row>
    <row r="330" spans="4:8" ht="14.25" customHeight="1" x14ac:dyDescent="0.35">
      <c r="D330" s="26"/>
      <c r="F330" s="27"/>
      <c r="H330" s="27"/>
    </row>
    <row r="331" spans="4:8" ht="14.25" customHeight="1" x14ac:dyDescent="0.35">
      <c r="D331" s="26"/>
      <c r="F331" s="27"/>
      <c r="H331" s="27"/>
    </row>
    <row r="332" spans="4:8" ht="14.25" customHeight="1" x14ac:dyDescent="0.35">
      <c r="D332" s="26"/>
      <c r="F332" s="27"/>
      <c r="H332" s="27"/>
    </row>
    <row r="333" spans="4:8" ht="14.25" customHeight="1" x14ac:dyDescent="0.35">
      <c r="D333" s="26"/>
      <c r="F333" s="27"/>
      <c r="H333" s="27"/>
    </row>
    <row r="334" spans="4:8" ht="14.25" customHeight="1" x14ac:dyDescent="0.35">
      <c r="D334" s="26"/>
      <c r="F334" s="27"/>
      <c r="H334" s="27"/>
    </row>
    <row r="335" spans="4:8" ht="14.25" customHeight="1" x14ac:dyDescent="0.35">
      <c r="D335" s="26"/>
      <c r="F335" s="27"/>
      <c r="H335" s="27"/>
    </row>
    <row r="336" spans="4:8" ht="14.25" customHeight="1" x14ac:dyDescent="0.35">
      <c r="D336" s="26"/>
      <c r="F336" s="27"/>
      <c r="H336" s="27"/>
    </row>
    <row r="337" spans="4:8" ht="14.25" customHeight="1" x14ac:dyDescent="0.35">
      <c r="D337" s="26"/>
      <c r="F337" s="27"/>
      <c r="H337" s="27"/>
    </row>
    <row r="338" spans="4:8" ht="14.25" customHeight="1" x14ac:dyDescent="0.35">
      <c r="D338" s="26"/>
      <c r="F338" s="27"/>
      <c r="H338" s="27"/>
    </row>
    <row r="339" spans="4:8" ht="14.25" customHeight="1" x14ac:dyDescent="0.35">
      <c r="D339" s="26"/>
      <c r="F339" s="27"/>
      <c r="H339" s="27"/>
    </row>
    <row r="340" spans="4:8" ht="14.25" customHeight="1" x14ac:dyDescent="0.35">
      <c r="D340" s="26"/>
      <c r="F340" s="27"/>
      <c r="H340" s="27"/>
    </row>
    <row r="341" spans="4:8" ht="14.25" customHeight="1" x14ac:dyDescent="0.35">
      <c r="D341" s="26"/>
      <c r="F341" s="27"/>
      <c r="H341" s="27"/>
    </row>
    <row r="342" spans="4:8" ht="14.25" customHeight="1" x14ac:dyDescent="0.35">
      <c r="D342" s="26"/>
      <c r="F342" s="27"/>
      <c r="H342" s="27"/>
    </row>
    <row r="343" spans="4:8" ht="14.25" customHeight="1" x14ac:dyDescent="0.35">
      <c r="D343" s="26"/>
      <c r="F343" s="27"/>
      <c r="H343" s="27"/>
    </row>
    <row r="344" spans="4:8" ht="14.25" customHeight="1" x14ac:dyDescent="0.35">
      <c r="D344" s="26"/>
      <c r="F344" s="27"/>
      <c r="H344" s="27"/>
    </row>
    <row r="345" spans="4:8" ht="14.25" customHeight="1" x14ac:dyDescent="0.35">
      <c r="D345" s="26"/>
      <c r="F345" s="27"/>
      <c r="H345" s="27"/>
    </row>
    <row r="346" spans="4:8" ht="14.25" customHeight="1" x14ac:dyDescent="0.35">
      <c r="D346" s="26"/>
      <c r="F346" s="27"/>
      <c r="H346" s="27"/>
    </row>
    <row r="347" spans="4:8" ht="14.25" customHeight="1" x14ac:dyDescent="0.35">
      <c r="D347" s="26"/>
      <c r="F347" s="27"/>
      <c r="H347" s="27"/>
    </row>
    <row r="348" spans="4:8" ht="14.25" customHeight="1" x14ac:dyDescent="0.35">
      <c r="D348" s="26"/>
      <c r="F348" s="27"/>
      <c r="H348" s="27"/>
    </row>
    <row r="349" spans="4:8" ht="14.25" customHeight="1" x14ac:dyDescent="0.35">
      <c r="D349" s="26"/>
      <c r="F349" s="27"/>
      <c r="H349" s="27"/>
    </row>
    <row r="350" spans="4:8" ht="14.25" customHeight="1" x14ac:dyDescent="0.35">
      <c r="D350" s="26"/>
      <c r="F350" s="27"/>
      <c r="H350" s="27"/>
    </row>
    <row r="351" spans="4:8" ht="14.25" customHeight="1" x14ac:dyDescent="0.35">
      <c r="D351" s="26"/>
      <c r="F351" s="27"/>
      <c r="H351" s="27"/>
    </row>
    <row r="352" spans="4:8" ht="14.25" customHeight="1" x14ac:dyDescent="0.35">
      <c r="D352" s="26"/>
      <c r="F352" s="27"/>
      <c r="H352" s="27"/>
    </row>
    <row r="353" spans="4:8" ht="14.25" customHeight="1" x14ac:dyDescent="0.35">
      <c r="D353" s="26"/>
      <c r="F353" s="27"/>
      <c r="H353" s="27"/>
    </row>
    <row r="354" spans="4:8" ht="14.25" customHeight="1" x14ac:dyDescent="0.35">
      <c r="D354" s="26"/>
      <c r="F354" s="27"/>
      <c r="H354" s="27"/>
    </row>
    <row r="355" spans="4:8" ht="14.25" customHeight="1" x14ac:dyDescent="0.35">
      <c r="D355" s="26"/>
      <c r="F355" s="27"/>
      <c r="H355" s="27"/>
    </row>
    <row r="356" spans="4:8" ht="14.25" customHeight="1" x14ac:dyDescent="0.35">
      <c r="D356" s="26"/>
      <c r="F356" s="27"/>
      <c r="H356" s="27"/>
    </row>
    <row r="357" spans="4:8" ht="14.25" customHeight="1" x14ac:dyDescent="0.35">
      <c r="D357" s="26"/>
      <c r="F357" s="27"/>
      <c r="H357" s="27"/>
    </row>
    <row r="358" spans="4:8" ht="14.25" customHeight="1" x14ac:dyDescent="0.35">
      <c r="D358" s="26"/>
      <c r="F358" s="27"/>
      <c r="H358" s="27"/>
    </row>
    <row r="359" spans="4:8" ht="14.25" customHeight="1" x14ac:dyDescent="0.35">
      <c r="D359" s="26"/>
      <c r="F359" s="27"/>
      <c r="H359" s="27"/>
    </row>
    <row r="360" spans="4:8" ht="14.25" customHeight="1" x14ac:dyDescent="0.35">
      <c r="D360" s="26"/>
      <c r="F360" s="27"/>
      <c r="H360" s="27"/>
    </row>
    <row r="361" spans="4:8" ht="14.25" customHeight="1" x14ac:dyDescent="0.35">
      <c r="D361" s="26"/>
      <c r="F361" s="27"/>
      <c r="H361" s="27"/>
    </row>
    <row r="362" spans="4:8" ht="14.25" customHeight="1" x14ac:dyDescent="0.35">
      <c r="D362" s="26"/>
      <c r="F362" s="27"/>
      <c r="H362" s="27"/>
    </row>
    <row r="363" spans="4:8" ht="14.25" customHeight="1" x14ac:dyDescent="0.35">
      <c r="D363" s="26"/>
      <c r="F363" s="27"/>
      <c r="H363" s="27"/>
    </row>
    <row r="364" spans="4:8" ht="14.25" customHeight="1" x14ac:dyDescent="0.35">
      <c r="D364" s="26"/>
      <c r="F364" s="27"/>
      <c r="H364" s="27"/>
    </row>
    <row r="365" spans="4:8" ht="14.25" customHeight="1" x14ac:dyDescent="0.35">
      <c r="D365" s="26"/>
      <c r="F365" s="27"/>
      <c r="H365" s="27"/>
    </row>
    <row r="366" spans="4:8" ht="14.25" customHeight="1" x14ac:dyDescent="0.35">
      <c r="D366" s="26"/>
      <c r="F366" s="27"/>
      <c r="H366" s="27"/>
    </row>
    <row r="367" spans="4:8" ht="14.25" customHeight="1" x14ac:dyDescent="0.35">
      <c r="D367" s="26"/>
      <c r="F367" s="27"/>
      <c r="H367" s="27"/>
    </row>
    <row r="368" spans="4:8" ht="14.25" customHeight="1" x14ac:dyDescent="0.35">
      <c r="D368" s="26"/>
      <c r="F368" s="27"/>
      <c r="H368" s="27"/>
    </row>
    <row r="369" spans="4:8" ht="14.25" customHeight="1" x14ac:dyDescent="0.35">
      <c r="D369" s="26"/>
      <c r="F369" s="27"/>
      <c r="H369" s="27"/>
    </row>
    <row r="370" spans="4:8" ht="14.25" customHeight="1" x14ac:dyDescent="0.35">
      <c r="D370" s="26"/>
      <c r="F370" s="27"/>
      <c r="H370" s="27"/>
    </row>
    <row r="371" spans="4:8" ht="14.25" customHeight="1" x14ac:dyDescent="0.35">
      <c r="D371" s="26"/>
      <c r="F371" s="27"/>
      <c r="H371" s="27"/>
    </row>
    <row r="372" spans="4:8" ht="14.25" customHeight="1" x14ac:dyDescent="0.35">
      <c r="D372" s="26"/>
      <c r="F372" s="27"/>
      <c r="H372" s="27"/>
    </row>
    <row r="373" spans="4:8" ht="14.25" customHeight="1" x14ac:dyDescent="0.35">
      <c r="D373" s="26"/>
      <c r="F373" s="27"/>
      <c r="H373" s="27"/>
    </row>
    <row r="374" spans="4:8" ht="14.25" customHeight="1" x14ac:dyDescent="0.35">
      <c r="D374" s="26"/>
      <c r="F374" s="27"/>
      <c r="H374" s="27"/>
    </row>
    <row r="375" spans="4:8" ht="14.25" customHeight="1" x14ac:dyDescent="0.35">
      <c r="D375" s="26"/>
      <c r="F375" s="27"/>
      <c r="H375" s="27"/>
    </row>
    <row r="376" spans="4:8" ht="14.25" customHeight="1" x14ac:dyDescent="0.35">
      <c r="D376" s="26"/>
      <c r="F376" s="27"/>
      <c r="H376" s="27"/>
    </row>
    <row r="377" spans="4:8" ht="14.25" customHeight="1" x14ac:dyDescent="0.35">
      <c r="D377" s="26"/>
      <c r="F377" s="27"/>
      <c r="H377" s="27"/>
    </row>
    <row r="378" spans="4:8" ht="14.25" customHeight="1" x14ac:dyDescent="0.35">
      <c r="D378" s="26"/>
      <c r="F378" s="27"/>
      <c r="H378" s="27"/>
    </row>
    <row r="379" spans="4:8" ht="14.25" customHeight="1" x14ac:dyDescent="0.35">
      <c r="D379" s="26"/>
      <c r="F379" s="27"/>
      <c r="H379" s="27"/>
    </row>
    <row r="380" spans="4:8" ht="14.25" customHeight="1" x14ac:dyDescent="0.35">
      <c r="D380" s="26"/>
      <c r="F380" s="27"/>
      <c r="H380" s="27"/>
    </row>
    <row r="381" spans="4:8" ht="14.25" customHeight="1" x14ac:dyDescent="0.35">
      <c r="D381" s="26"/>
      <c r="F381" s="27"/>
      <c r="H381" s="27"/>
    </row>
    <row r="382" spans="4:8" ht="14.25" customHeight="1" x14ac:dyDescent="0.35">
      <c r="D382" s="26"/>
      <c r="F382" s="27"/>
      <c r="H382" s="27"/>
    </row>
    <row r="383" spans="4:8" ht="14.25" customHeight="1" x14ac:dyDescent="0.35">
      <c r="D383" s="26"/>
      <c r="F383" s="27"/>
      <c r="H383" s="27"/>
    </row>
    <row r="384" spans="4:8" ht="14.25" customHeight="1" x14ac:dyDescent="0.35">
      <c r="D384" s="26"/>
      <c r="F384" s="27"/>
      <c r="H384" s="27"/>
    </row>
    <row r="385" spans="4:8" ht="14.25" customHeight="1" x14ac:dyDescent="0.35">
      <c r="D385" s="26"/>
      <c r="F385" s="27"/>
      <c r="H385" s="27"/>
    </row>
    <row r="386" spans="4:8" ht="14.25" customHeight="1" x14ac:dyDescent="0.35">
      <c r="D386" s="26"/>
      <c r="F386" s="27"/>
      <c r="H386" s="27"/>
    </row>
    <row r="387" spans="4:8" ht="14.25" customHeight="1" x14ac:dyDescent="0.35">
      <c r="D387" s="26"/>
      <c r="F387" s="27"/>
      <c r="H387" s="27"/>
    </row>
    <row r="388" spans="4:8" ht="14.25" customHeight="1" x14ac:dyDescent="0.35">
      <c r="D388" s="26"/>
      <c r="F388" s="27"/>
      <c r="H388" s="27"/>
    </row>
    <row r="389" spans="4:8" ht="14.25" customHeight="1" x14ac:dyDescent="0.35">
      <c r="D389" s="26"/>
      <c r="F389" s="27"/>
      <c r="H389" s="27"/>
    </row>
    <row r="390" spans="4:8" ht="14.25" customHeight="1" x14ac:dyDescent="0.35">
      <c r="D390" s="26"/>
      <c r="F390" s="27"/>
      <c r="H390" s="27"/>
    </row>
    <row r="391" spans="4:8" ht="14.25" customHeight="1" x14ac:dyDescent="0.35">
      <c r="D391" s="26"/>
      <c r="F391" s="27"/>
      <c r="H391" s="27"/>
    </row>
    <row r="392" spans="4:8" ht="14.25" customHeight="1" x14ac:dyDescent="0.35">
      <c r="D392" s="26"/>
      <c r="F392" s="27"/>
      <c r="H392" s="27"/>
    </row>
    <row r="393" spans="4:8" ht="14.25" customHeight="1" x14ac:dyDescent="0.35">
      <c r="D393" s="26"/>
      <c r="F393" s="27"/>
      <c r="H393" s="27"/>
    </row>
    <row r="394" spans="4:8" ht="14.25" customHeight="1" x14ac:dyDescent="0.35">
      <c r="D394" s="26"/>
      <c r="F394" s="27"/>
      <c r="H394" s="27"/>
    </row>
    <row r="395" spans="4:8" ht="14.25" customHeight="1" x14ac:dyDescent="0.35">
      <c r="D395" s="26"/>
      <c r="F395" s="27"/>
      <c r="H395" s="27"/>
    </row>
    <row r="396" spans="4:8" ht="14.25" customHeight="1" x14ac:dyDescent="0.35">
      <c r="D396" s="26"/>
      <c r="F396" s="27"/>
      <c r="H396" s="27"/>
    </row>
    <row r="397" spans="4:8" ht="14.25" customHeight="1" x14ac:dyDescent="0.35">
      <c r="D397" s="26"/>
      <c r="F397" s="27"/>
      <c r="H397" s="27"/>
    </row>
    <row r="398" spans="4:8" ht="14.25" customHeight="1" x14ac:dyDescent="0.35">
      <c r="D398" s="26"/>
      <c r="F398" s="27"/>
      <c r="H398" s="27"/>
    </row>
    <row r="399" spans="4:8" ht="14.25" customHeight="1" x14ac:dyDescent="0.35">
      <c r="D399" s="26"/>
      <c r="F399" s="27"/>
      <c r="H399" s="27"/>
    </row>
    <row r="400" spans="4:8" ht="14.25" customHeight="1" x14ac:dyDescent="0.35">
      <c r="D400" s="26"/>
      <c r="F400" s="27"/>
      <c r="H400" s="27"/>
    </row>
    <row r="401" spans="4:8" ht="14.25" customHeight="1" x14ac:dyDescent="0.35">
      <c r="D401" s="26"/>
      <c r="F401" s="27"/>
      <c r="H401" s="27"/>
    </row>
    <row r="402" spans="4:8" ht="14.25" customHeight="1" x14ac:dyDescent="0.35">
      <c r="D402" s="26"/>
      <c r="F402" s="27"/>
      <c r="H402" s="27"/>
    </row>
    <row r="403" spans="4:8" ht="14.25" customHeight="1" x14ac:dyDescent="0.35">
      <c r="D403" s="26"/>
      <c r="F403" s="27"/>
      <c r="H403" s="27"/>
    </row>
    <row r="404" spans="4:8" ht="14.25" customHeight="1" x14ac:dyDescent="0.35">
      <c r="D404" s="26"/>
      <c r="F404" s="27"/>
      <c r="H404" s="27"/>
    </row>
    <row r="405" spans="4:8" ht="14.25" customHeight="1" x14ac:dyDescent="0.35">
      <c r="D405" s="26"/>
      <c r="F405" s="27"/>
      <c r="H405" s="27"/>
    </row>
    <row r="406" spans="4:8" ht="14.25" customHeight="1" x14ac:dyDescent="0.35">
      <c r="D406" s="26"/>
      <c r="F406" s="27"/>
      <c r="H406" s="27"/>
    </row>
    <row r="407" spans="4:8" ht="14.25" customHeight="1" x14ac:dyDescent="0.35">
      <c r="D407" s="26"/>
      <c r="F407" s="27"/>
      <c r="H407" s="27"/>
    </row>
    <row r="408" spans="4:8" ht="14.25" customHeight="1" x14ac:dyDescent="0.35">
      <c r="D408" s="26"/>
      <c r="F408" s="27"/>
      <c r="H408" s="27"/>
    </row>
    <row r="409" spans="4:8" ht="14.25" customHeight="1" x14ac:dyDescent="0.35">
      <c r="D409" s="26"/>
      <c r="F409" s="27"/>
      <c r="H409" s="27"/>
    </row>
    <row r="410" spans="4:8" ht="14.25" customHeight="1" x14ac:dyDescent="0.35">
      <c r="D410" s="26"/>
      <c r="F410" s="27"/>
      <c r="H410" s="27"/>
    </row>
    <row r="411" spans="4:8" ht="14.25" customHeight="1" x14ac:dyDescent="0.35">
      <c r="D411" s="26"/>
      <c r="F411" s="27"/>
      <c r="H411" s="27"/>
    </row>
    <row r="412" spans="4:8" ht="14.25" customHeight="1" x14ac:dyDescent="0.35">
      <c r="D412" s="26"/>
      <c r="F412" s="27"/>
      <c r="H412" s="27"/>
    </row>
    <row r="413" spans="4:8" ht="14.25" customHeight="1" x14ac:dyDescent="0.35">
      <c r="D413" s="26"/>
      <c r="F413" s="27"/>
      <c r="H413" s="27"/>
    </row>
    <row r="414" spans="4:8" ht="14.25" customHeight="1" x14ac:dyDescent="0.35">
      <c r="D414" s="26"/>
      <c r="F414" s="27"/>
      <c r="H414" s="27"/>
    </row>
    <row r="415" spans="4:8" ht="14.25" customHeight="1" x14ac:dyDescent="0.35">
      <c r="D415" s="26"/>
      <c r="F415" s="27"/>
      <c r="H415" s="27"/>
    </row>
    <row r="416" spans="4:8" ht="14.25" customHeight="1" x14ac:dyDescent="0.35">
      <c r="D416" s="26"/>
      <c r="F416" s="27"/>
      <c r="H416" s="27"/>
    </row>
    <row r="417" spans="4:8" ht="14.25" customHeight="1" x14ac:dyDescent="0.35">
      <c r="D417" s="26"/>
      <c r="F417" s="27"/>
      <c r="H417" s="27"/>
    </row>
    <row r="418" spans="4:8" ht="14.25" customHeight="1" x14ac:dyDescent="0.35">
      <c r="D418" s="26"/>
      <c r="F418" s="27"/>
      <c r="H418" s="27"/>
    </row>
    <row r="419" spans="4:8" ht="14.25" customHeight="1" x14ac:dyDescent="0.35">
      <c r="D419" s="26"/>
      <c r="F419" s="27"/>
      <c r="H419" s="27"/>
    </row>
    <row r="420" spans="4:8" ht="14.25" customHeight="1" x14ac:dyDescent="0.35">
      <c r="D420" s="26"/>
      <c r="F420" s="27"/>
      <c r="H420" s="27"/>
    </row>
    <row r="421" spans="4:8" ht="14.25" customHeight="1" x14ac:dyDescent="0.35">
      <c r="D421" s="26"/>
      <c r="F421" s="27"/>
      <c r="H421" s="27"/>
    </row>
    <row r="422" spans="4:8" ht="14.25" customHeight="1" x14ac:dyDescent="0.35">
      <c r="D422" s="26"/>
      <c r="F422" s="27"/>
      <c r="H422" s="27"/>
    </row>
    <row r="423" spans="4:8" ht="14.25" customHeight="1" x14ac:dyDescent="0.35">
      <c r="D423" s="26"/>
      <c r="F423" s="27"/>
      <c r="H423" s="27"/>
    </row>
    <row r="424" spans="4:8" ht="14.25" customHeight="1" x14ac:dyDescent="0.35">
      <c r="D424" s="26"/>
      <c r="F424" s="27"/>
      <c r="H424" s="27"/>
    </row>
    <row r="425" spans="4:8" ht="14.25" customHeight="1" x14ac:dyDescent="0.35">
      <c r="D425" s="26"/>
      <c r="F425" s="27"/>
      <c r="H425" s="27"/>
    </row>
    <row r="426" spans="4:8" ht="14.25" customHeight="1" x14ac:dyDescent="0.35">
      <c r="D426" s="26"/>
      <c r="F426" s="27"/>
      <c r="H426" s="27"/>
    </row>
    <row r="427" spans="4:8" ht="14.25" customHeight="1" x14ac:dyDescent="0.35">
      <c r="D427" s="26"/>
      <c r="F427" s="27"/>
      <c r="H427" s="27"/>
    </row>
    <row r="428" spans="4:8" ht="14.25" customHeight="1" x14ac:dyDescent="0.35">
      <c r="D428" s="26"/>
      <c r="F428" s="27"/>
      <c r="H428" s="27"/>
    </row>
    <row r="429" spans="4:8" ht="14.25" customHeight="1" x14ac:dyDescent="0.35">
      <c r="D429" s="26"/>
      <c r="F429" s="27"/>
      <c r="H429" s="27"/>
    </row>
    <row r="430" spans="4:8" ht="14.25" customHeight="1" x14ac:dyDescent="0.35">
      <c r="D430" s="26"/>
      <c r="F430" s="27"/>
      <c r="H430" s="27"/>
    </row>
    <row r="431" spans="4:8" ht="14.25" customHeight="1" x14ac:dyDescent="0.35">
      <c r="D431" s="26"/>
      <c r="F431" s="27"/>
      <c r="H431" s="27"/>
    </row>
    <row r="432" spans="4:8" ht="14.25" customHeight="1" x14ac:dyDescent="0.35">
      <c r="D432" s="26"/>
      <c r="F432" s="27"/>
      <c r="H432" s="27"/>
    </row>
    <row r="433" spans="4:8" ht="14.25" customHeight="1" x14ac:dyDescent="0.35">
      <c r="D433" s="26"/>
      <c r="F433" s="27"/>
      <c r="H433" s="27"/>
    </row>
    <row r="434" spans="4:8" ht="14.25" customHeight="1" x14ac:dyDescent="0.35">
      <c r="D434" s="26"/>
      <c r="F434" s="27"/>
      <c r="H434" s="27"/>
    </row>
    <row r="435" spans="4:8" ht="14.25" customHeight="1" x14ac:dyDescent="0.35">
      <c r="D435" s="26"/>
      <c r="F435" s="27"/>
      <c r="H435" s="27"/>
    </row>
    <row r="436" spans="4:8" ht="14.25" customHeight="1" x14ac:dyDescent="0.35">
      <c r="D436" s="26"/>
      <c r="F436" s="27"/>
      <c r="H436" s="27"/>
    </row>
    <row r="437" spans="4:8" ht="14.25" customHeight="1" x14ac:dyDescent="0.35">
      <c r="D437" s="26"/>
      <c r="F437" s="27"/>
      <c r="H437" s="27"/>
    </row>
    <row r="438" spans="4:8" ht="14.25" customHeight="1" x14ac:dyDescent="0.35">
      <c r="D438" s="26"/>
      <c r="F438" s="27"/>
      <c r="H438" s="27"/>
    </row>
    <row r="439" spans="4:8" ht="14.25" customHeight="1" x14ac:dyDescent="0.35">
      <c r="D439" s="26"/>
      <c r="F439" s="27"/>
      <c r="H439" s="27"/>
    </row>
    <row r="440" spans="4:8" ht="14.25" customHeight="1" x14ac:dyDescent="0.35">
      <c r="D440" s="26"/>
      <c r="F440" s="27"/>
      <c r="H440" s="27"/>
    </row>
    <row r="441" spans="4:8" ht="14.25" customHeight="1" x14ac:dyDescent="0.35">
      <c r="D441" s="26"/>
      <c r="F441" s="27"/>
      <c r="H441" s="27"/>
    </row>
    <row r="442" spans="4:8" ht="14.25" customHeight="1" x14ac:dyDescent="0.35">
      <c r="D442" s="26"/>
      <c r="F442" s="27"/>
      <c r="H442" s="27"/>
    </row>
    <row r="443" spans="4:8" ht="14.25" customHeight="1" x14ac:dyDescent="0.35">
      <c r="D443" s="26"/>
      <c r="F443" s="27"/>
      <c r="H443" s="27"/>
    </row>
    <row r="444" spans="4:8" ht="14.25" customHeight="1" x14ac:dyDescent="0.35">
      <c r="D444" s="26"/>
      <c r="F444" s="27"/>
      <c r="H444" s="27"/>
    </row>
    <row r="445" spans="4:8" ht="14.25" customHeight="1" x14ac:dyDescent="0.35">
      <c r="D445" s="26"/>
      <c r="F445" s="27"/>
      <c r="H445" s="27"/>
    </row>
    <row r="446" spans="4:8" ht="14.25" customHeight="1" x14ac:dyDescent="0.35">
      <c r="D446" s="26"/>
      <c r="F446" s="27"/>
      <c r="H446" s="27"/>
    </row>
    <row r="447" spans="4:8" ht="14.25" customHeight="1" x14ac:dyDescent="0.35">
      <c r="D447" s="26"/>
      <c r="F447" s="27"/>
      <c r="H447" s="27"/>
    </row>
    <row r="448" spans="4:8" ht="14.25" customHeight="1" x14ac:dyDescent="0.35">
      <c r="D448" s="26"/>
      <c r="F448" s="27"/>
      <c r="H448" s="27"/>
    </row>
    <row r="449" spans="4:8" ht="14.25" customHeight="1" x14ac:dyDescent="0.35">
      <c r="D449" s="26"/>
      <c r="F449" s="27"/>
      <c r="H449" s="27"/>
    </row>
    <row r="450" spans="4:8" ht="14.25" customHeight="1" x14ac:dyDescent="0.35">
      <c r="D450" s="26"/>
      <c r="F450" s="27"/>
      <c r="H450" s="27"/>
    </row>
    <row r="451" spans="4:8" ht="14.25" customHeight="1" x14ac:dyDescent="0.35">
      <c r="D451" s="26"/>
      <c r="F451" s="27"/>
      <c r="H451" s="27"/>
    </row>
    <row r="452" spans="4:8" ht="14.25" customHeight="1" x14ac:dyDescent="0.35">
      <c r="D452" s="26"/>
      <c r="F452" s="27"/>
      <c r="H452" s="27"/>
    </row>
    <row r="453" spans="4:8" ht="14.25" customHeight="1" x14ac:dyDescent="0.35">
      <c r="D453" s="26"/>
      <c r="F453" s="27"/>
      <c r="H453" s="27"/>
    </row>
    <row r="454" spans="4:8" ht="14.25" customHeight="1" x14ac:dyDescent="0.35">
      <c r="D454" s="26"/>
      <c r="F454" s="27"/>
      <c r="H454" s="27"/>
    </row>
    <row r="455" spans="4:8" ht="14.25" customHeight="1" x14ac:dyDescent="0.35">
      <c r="D455" s="26"/>
      <c r="F455" s="27"/>
      <c r="H455" s="27"/>
    </row>
    <row r="456" spans="4:8" ht="14.25" customHeight="1" x14ac:dyDescent="0.35">
      <c r="D456" s="26"/>
      <c r="F456" s="27"/>
      <c r="H456" s="27"/>
    </row>
    <row r="457" spans="4:8" ht="14.25" customHeight="1" x14ac:dyDescent="0.35">
      <c r="D457" s="26"/>
      <c r="F457" s="27"/>
      <c r="H457" s="27"/>
    </row>
    <row r="458" spans="4:8" ht="14.25" customHeight="1" x14ac:dyDescent="0.35">
      <c r="D458" s="26"/>
      <c r="F458" s="27"/>
      <c r="H458" s="27"/>
    </row>
    <row r="459" spans="4:8" ht="14.25" customHeight="1" x14ac:dyDescent="0.35">
      <c r="D459" s="26"/>
      <c r="F459" s="27"/>
      <c r="H459" s="27"/>
    </row>
    <row r="460" spans="4:8" ht="14.25" customHeight="1" x14ac:dyDescent="0.35">
      <c r="D460" s="26"/>
      <c r="F460" s="27"/>
      <c r="H460" s="27"/>
    </row>
    <row r="461" spans="4:8" ht="14.25" customHeight="1" x14ac:dyDescent="0.35">
      <c r="D461" s="26"/>
      <c r="F461" s="27"/>
      <c r="H461" s="27"/>
    </row>
    <row r="462" spans="4:8" ht="14.25" customHeight="1" x14ac:dyDescent="0.35">
      <c r="D462" s="26"/>
      <c r="F462" s="27"/>
      <c r="H462" s="27"/>
    </row>
    <row r="463" spans="4:8" ht="14.25" customHeight="1" x14ac:dyDescent="0.35">
      <c r="D463" s="26"/>
      <c r="F463" s="27"/>
      <c r="H463" s="27"/>
    </row>
    <row r="464" spans="4:8" ht="14.25" customHeight="1" x14ac:dyDescent="0.35">
      <c r="D464" s="26"/>
      <c r="F464" s="27"/>
      <c r="H464" s="27"/>
    </row>
    <row r="465" spans="4:8" ht="14.25" customHeight="1" x14ac:dyDescent="0.35">
      <c r="D465" s="26"/>
      <c r="F465" s="27"/>
      <c r="H465" s="27"/>
    </row>
    <row r="466" spans="4:8" ht="14.25" customHeight="1" x14ac:dyDescent="0.35">
      <c r="D466" s="26"/>
      <c r="F466" s="27"/>
      <c r="H466" s="27"/>
    </row>
    <row r="467" spans="4:8" ht="14.25" customHeight="1" x14ac:dyDescent="0.35">
      <c r="D467" s="26"/>
      <c r="F467" s="27"/>
      <c r="H467" s="27"/>
    </row>
    <row r="468" spans="4:8" ht="14.25" customHeight="1" x14ac:dyDescent="0.35">
      <c r="D468" s="26"/>
      <c r="F468" s="27"/>
      <c r="H468" s="27"/>
    </row>
    <row r="469" spans="4:8" ht="14.25" customHeight="1" x14ac:dyDescent="0.35">
      <c r="D469" s="26"/>
      <c r="F469" s="27"/>
      <c r="H469" s="27"/>
    </row>
    <row r="470" spans="4:8" ht="14.25" customHeight="1" x14ac:dyDescent="0.35">
      <c r="D470" s="26"/>
      <c r="F470" s="27"/>
      <c r="H470" s="27"/>
    </row>
    <row r="471" spans="4:8" ht="14.25" customHeight="1" x14ac:dyDescent="0.35">
      <c r="D471" s="26"/>
      <c r="F471" s="27"/>
      <c r="H471" s="27"/>
    </row>
    <row r="472" spans="4:8" ht="14.25" customHeight="1" x14ac:dyDescent="0.35">
      <c r="D472" s="26"/>
      <c r="F472" s="27"/>
      <c r="H472" s="27"/>
    </row>
    <row r="473" spans="4:8" ht="14.25" customHeight="1" x14ac:dyDescent="0.35">
      <c r="D473" s="26"/>
      <c r="F473" s="27"/>
      <c r="H473" s="27"/>
    </row>
    <row r="474" spans="4:8" ht="14.25" customHeight="1" x14ac:dyDescent="0.35">
      <c r="D474" s="26"/>
      <c r="F474" s="27"/>
      <c r="H474" s="27"/>
    </row>
    <row r="475" spans="4:8" ht="14.25" customHeight="1" x14ac:dyDescent="0.35">
      <c r="D475" s="26"/>
      <c r="F475" s="27"/>
      <c r="H475" s="27"/>
    </row>
    <row r="476" spans="4:8" ht="14.25" customHeight="1" x14ac:dyDescent="0.35">
      <c r="D476" s="26"/>
      <c r="F476" s="27"/>
      <c r="H476" s="27"/>
    </row>
    <row r="477" spans="4:8" ht="14.25" customHeight="1" x14ac:dyDescent="0.35">
      <c r="D477" s="26"/>
      <c r="F477" s="27"/>
      <c r="H477" s="27"/>
    </row>
    <row r="478" spans="4:8" ht="14.25" customHeight="1" x14ac:dyDescent="0.35">
      <c r="D478" s="26"/>
      <c r="F478" s="27"/>
      <c r="H478" s="27"/>
    </row>
    <row r="479" spans="4:8" ht="14.25" customHeight="1" x14ac:dyDescent="0.35">
      <c r="D479" s="26"/>
      <c r="F479" s="27"/>
      <c r="H479" s="27"/>
    </row>
    <row r="480" spans="4:8" ht="14.25" customHeight="1" x14ac:dyDescent="0.35">
      <c r="D480" s="26"/>
      <c r="F480" s="27"/>
      <c r="H480" s="27"/>
    </row>
    <row r="481" spans="4:8" ht="14.25" customHeight="1" x14ac:dyDescent="0.35">
      <c r="D481" s="26"/>
      <c r="F481" s="27"/>
      <c r="H481" s="27"/>
    </row>
    <row r="482" spans="4:8" ht="14.25" customHeight="1" x14ac:dyDescent="0.35">
      <c r="D482" s="26"/>
      <c r="F482" s="27"/>
      <c r="H482" s="27"/>
    </row>
    <row r="483" spans="4:8" ht="14.25" customHeight="1" x14ac:dyDescent="0.35">
      <c r="D483" s="26"/>
      <c r="F483" s="27"/>
      <c r="H483" s="27"/>
    </row>
    <row r="484" spans="4:8" ht="14.25" customHeight="1" x14ac:dyDescent="0.35">
      <c r="D484" s="26"/>
      <c r="F484" s="27"/>
      <c r="H484" s="27"/>
    </row>
    <row r="485" spans="4:8" ht="14.25" customHeight="1" x14ac:dyDescent="0.35">
      <c r="D485" s="26"/>
      <c r="F485" s="27"/>
      <c r="H485" s="27"/>
    </row>
    <row r="486" spans="4:8" ht="14.25" customHeight="1" x14ac:dyDescent="0.35">
      <c r="D486" s="26"/>
      <c r="F486" s="27"/>
      <c r="H486" s="27"/>
    </row>
    <row r="487" spans="4:8" ht="14.25" customHeight="1" x14ac:dyDescent="0.35">
      <c r="D487" s="26"/>
      <c r="F487" s="27"/>
      <c r="H487" s="27"/>
    </row>
    <row r="488" spans="4:8" ht="14.25" customHeight="1" x14ac:dyDescent="0.35">
      <c r="D488" s="26"/>
      <c r="F488" s="27"/>
      <c r="H488" s="27"/>
    </row>
    <row r="489" spans="4:8" ht="14.25" customHeight="1" x14ac:dyDescent="0.35">
      <c r="D489" s="26"/>
      <c r="F489" s="27"/>
      <c r="H489" s="27"/>
    </row>
    <row r="490" spans="4:8" ht="14.25" customHeight="1" x14ac:dyDescent="0.35">
      <c r="D490" s="26"/>
      <c r="F490" s="27"/>
      <c r="H490" s="27"/>
    </row>
    <row r="491" spans="4:8" ht="14.25" customHeight="1" x14ac:dyDescent="0.35">
      <c r="D491" s="26"/>
      <c r="F491" s="27"/>
      <c r="H491" s="27"/>
    </row>
    <row r="492" spans="4:8" ht="14.25" customHeight="1" x14ac:dyDescent="0.35">
      <c r="D492" s="26"/>
      <c r="F492" s="27"/>
      <c r="H492" s="27"/>
    </row>
    <row r="493" spans="4:8" ht="14.25" customHeight="1" x14ac:dyDescent="0.35">
      <c r="D493" s="26"/>
      <c r="F493" s="27"/>
      <c r="H493" s="27"/>
    </row>
    <row r="494" spans="4:8" ht="14.25" customHeight="1" x14ac:dyDescent="0.35">
      <c r="D494" s="26"/>
      <c r="F494" s="27"/>
      <c r="H494" s="27"/>
    </row>
    <row r="495" spans="4:8" ht="14.25" customHeight="1" x14ac:dyDescent="0.35">
      <c r="D495" s="26"/>
      <c r="F495" s="27"/>
      <c r="H495" s="27"/>
    </row>
    <row r="496" spans="4:8" ht="14.25" customHeight="1" x14ac:dyDescent="0.35">
      <c r="D496" s="26"/>
      <c r="F496" s="27"/>
      <c r="H496" s="27"/>
    </row>
    <row r="497" spans="4:8" ht="14.25" customHeight="1" x14ac:dyDescent="0.35">
      <c r="D497" s="26"/>
      <c r="F497" s="27"/>
      <c r="H497" s="27"/>
    </row>
    <row r="498" spans="4:8" ht="14.25" customHeight="1" x14ac:dyDescent="0.35">
      <c r="D498" s="26"/>
      <c r="F498" s="27"/>
      <c r="H498" s="27"/>
    </row>
    <row r="499" spans="4:8" ht="14.25" customHeight="1" x14ac:dyDescent="0.35">
      <c r="D499" s="26"/>
      <c r="F499" s="27"/>
      <c r="H499" s="27"/>
    </row>
    <row r="500" spans="4:8" ht="14.25" customHeight="1" x14ac:dyDescent="0.35">
      <c r="D500" s="26"/>
      <c r="F500" s="27"/>
      <c r="H500" s="27"/>
    </row>
    <row r="501" spans="4:8" ht="14.25" customHeight="1" x14ac:dyDescent="0.35">
      <c r="D501" s="26"/>
      <c r="F501" s="27"/>
      <c r="H501" s="27"/>
    </row>
    <row r="502" spans="4:8" ht="14.25" customHeight="1" x14ac:dyDescent="0.35">
      <c r="D502" s="26"/>
      <c r="F502" s="27"/>
      <c r="H502" s="27"/>
    </row>
    <row r="503" spans="4:8" ht="14.25" customHeight="1" x14ac:dyDescent="0.35">
      <c r="D503" s="26"/>
      <c r="F503" s="27"/>
      <c r="H503" s="27"/>
    </row>
    <row r="504" spans="4:8" ht="14.25" customHeight="1" x14ac:dyDescent="0.35">
      <c r="D504" s="26"/>
      <c r="F504" s="27"/>
      <c r="H504" s="27"/>
    </row>
    <row r="505" spans="4:8" ht="14.25" customHeight="1" x14ac:dyDescent="0.35">
      <c r="D505" s="26"/>
      <c r="F505" s="27"/>
      <c r="H505" s="27"/>
    </row>
    <row r="506" spans="4:8" ht="14.25" customHeight="1" x14ac:dyDescent="0.35">
      <c r="D506" s="26"/>
      <c r="F506" s="27"/>
      <c r="H506" s="27"/>
    </row>
    <row r="507" spans="4:8" ht="14.25" customHeight="1" x14ac:dyDescent="0.35">
      <c r="D507" s="26"/>
      <c r="F507" s="27"/>
      <c r="H507" s="27"/>
    </row>
    <row r="508" spans="4:8" ht="14.25" customHeight="1" x14ac:dyDescent="0.35">
      <c r="D508" s="26"/>
      <c r="F508" s="27"/>
      <c r="H508" s="27"/>
    </row>
    <row r="509" spans="4:8" ht="14.25" customHeight="1" x14ac:dyDescent="0.35">
      <c r="D509" s="26"/>
      <c r="F509" s="27"/>
      <c r="H509" s="27"/>
    </row>
    <row r="510" spans="4:8" ht="14.25" customHeight="1" x14ac:dyDescent="0.35">
      <c r="D510" s="26"/>
      <c r="F510" s="27"/>
      <c r="H510" s="27"/>
    </row>
    <row r="511" spans="4:8" ht="14.25" customHeight="1" x14ac:dyDescent="0.35">
      <c r="D511" s="26"/>
      <c r="F511" s="27"/>
      <c r="H511" s="27"/>
    </row>
    <row r="512" spans="4:8" ht="14.25" customHeight="1" x14ac:dyDescent="0.35">
      <c r="D512" s="26"/>
      <c r="F512" s="27"/>
      <c r="H512" s="27"/>
    </row>
    <row r="513" spans="4:8" ht="14.25" customHeight="1" x14ac:dyDescent="0.35">
      <c r="D513" s="26"/>
      <c r="F513" s="27"/>
      <c r="H513" s="27"/>
    </row>
    <row r="514" spans="4:8" ht="14.25" customHeight="1" x14ac:dyDescent="0.35">
      <c r="D514" s="26"/>
      <c r="F514" s="27"/>
      <c r="H514" s="27"/>
    </row>
    <row r="515" spans="4:8" ht="14.25" customHeight="1" x14ac:dyDescent="0.35">
      <c r="D515" s="26"/>
      <c r="F515" s="27"/>
      <c r="H515" s="27"/>
    </row>
    <row r="516" spans="4:8" ht="14.25" customHeight="1" x14ac:dyDescent="0.35">
      <c r="D516" s="26"/>
      <c r="F516" s="27"/>
      <c r="H516" s="27"/>
    </row>
    <row r="517" spans="4:8" ht="14.25" customHeight="1" x14ac:dyDescent="0.35">
      <c r="D517" s="26"/>
      <c r="F517" s="27"/>
      <c r="H517" s="27"/>
    </row>
    <row r="518" spans="4:8" ht="14.25" customHeight="1" x14ac:dyDescent="0.35">
      <c r="D518" s="26"/>
      <c r="F518" s="27"/>
      <c r="H518" s="27"/>
    </row>
    <row r="519" spans="4:8" ht="14.25" customHeight="1" x14ac:dyDescent="0.35">
      <c r="D519" s="26"/>
      <c r="F519" s="27"/>
      <c r="H519" s="27"/>
    </row>
    <row r="520" spans="4:8" ht="14.25" customHeight="1" x14ac:dyDescent="0.35">
      <c r="D520" s="26"/>
      <c r="F520" s="27"/>
      <c r="H520" s="27"/>
    </row>
    <row r="521" spans="4:8" ht="14.25" customHeight="1" x14ac:dyDescent="0.35">
      <c r="D521" s="26"/>
      <c r="F521" s="27"/>
      <c r="H521" s="27"/>
    </row>
    <row r="522" spans="4:8" ht="14.25" customHeight="1" x14ac:dyDescent="0.35">
      <c r="D522" s="26"/>
      <c r="F522" s="27"/>
      <c r="H522" s="27"/>
    </row>
    <row r="523" spans="4:8" ht="14.25" customHeight="1" x14ac:dyDescent="0.35">
      <c r="D523" s="26"/>
      <c r="F523" s="27"/>
      <c r="H523" s="27"/>
    </row>
    <row r="524" spans="4:8" ht="14.25" customHeight="1" x14ac:dyDescent="0.35">
      <c r="D524" s="26"/>
      <c r="F524" s="27"/>
      <c r="H524" s="27"/>
    </row>
    <row r="525" spans="4:8" ht="14.25" customHeight="1" x14ac:dyDescent="0.35">
      <c r="D525" s="26"/>
      <c r="F525" s="27"/>
      <c r="H525" s="27"/>
    </row>
    <row r="526" spans="4:8" ht="14.25" customHeight="1" x14ac:dyDescent="0.35">
      <c r="D526" s="26"/>
      <c r="F526" s="27"/>
      <c r="H526" s="27"/>
    </row>
    <row r="527" spans="4:8" ht="14.25" customHeight="1" x14ac:dyDescent="0.35">
      <c r="D527" s="26"/>
      <c r="F527" s="27"/>
      <c r="H527" s="27"/>
    </row>
    <row r="528" spans="4:8" ht="14.25" customHeight="1" x14ac:dyDescent="0.35">
      <c r="D528" s="26"/>
      <c r="F528" s="27"/>
      <c r="H528" s="27"/>
    </row>
    <row r="529" spans="4:8" ht="14.25" customHeight="1" x14ac:dyDescent="0.35">
      <c r="D529" s="26"/>
      <c r="F529" s="27"/>
      <c r="H529" s="27"/>
    </row>
    <row r="530" spans="4:8" ht="14.25" customHeight="1" x14ac:dyDescent="0.35">
      <c r="D530" s="26"/>
      <c r="F530" s="27"/>
      <c r="H530" s="27"/>
    </row>
    <row r="531" spans="4:8" ht="14.25" customHeight="1" x14ac:dyDescent="0.35">
      <c r="D531" s="26"/>
      <c r="F531" s="27"/>
      <c r="H531" s="27"/>
    </row>
    <row r="532" spans="4:8" ht="14.25" customHeight="1" x14ac:dyDescent="0.35">
      <c r="D532" s="26"/>
      <c r="F532" s="27"/>
      <c r="H532" s="27"/>
    </row>
    <row r="533" spans="4:8" ht="14.25" customHeight="1" x14ac:dyDescent="0.35">
      <c r="D533" s="26"/>
      <c r="F533" s="27"/>
      <c r="H533" s="27"/>
    </row>
    <row r="534" spans="4:8" ht="14.25" customHeight="1" x14ac:dyDescent="0.35">
      <c r="D534" s="26"/>
      <c r="F534" s="27"/>
      <c r="H534" s="27"/>
    </row>
    <row r="535" spans="4:8" ht="14.25" customHeight="1" x14ac:dyDescent="0.35">
      <c r="D535" s="26"/>
      <c r="F535" s="27"/>
      <c r="H535" s="27"/>
    </row>
    <row r="536" spans="4:8" ht="14.25" customHeight="1" x14ac:dyDescent="0.35">
      <c r="D536" s="26"/>
      <c r="F536" s="27"/>
      <c r="H536" s="27"/>
    </row>
    <row r="537" spans="4:8" ht="14.25" customHeight="1" x14ac:dyDescent="0.35">
      <c r="D537" s="26"/>
      <c r="F537" s="27"/>
      <c r="H537" s="27"/>
    </row>
    <row r="538" spans="4:8" ht="14.25" customHeight="1" x14ac:dyDescent="0.35">
      <c r="D538" s="26"/>
      <c r="F538" s="27"/>
      <c r="H538" s="27"/>
    </row>
    <row r="539" spans="4:8" ht="14.25" customHeight="1" x14ac:dyDescent="0.35">
      <c r="D539" s="26"/>
      <c r="F539" s="27"/>
      <c r="H539" s="27"/>
    </row>
    <row r="540" spans="4:8" ht="14.25" customHeight="1" x14ac:dyDescent="0.35">
      <c r="D540" s="26"/>
      <c r="F540" s="27"/>
      <c r="H540" s="27"/>
    </row>
    <row r="541" spans="4:8" ht="14.25" customHeight="1" x14ac:dyDescent="0.35">
      <c r="D541" s="26"/>
      <c r="F541" s="27"/>
      <c r="H541" s="27"/>
    </row>
    <row r="542" spans="4:8" ht="14.25" customHeight="1" x14ac:dyDescent="0.35">
      <c r="D542" s="26"/>
      <c r="F542" s="27"/>
      <c r="H542" s="27"/>
    </row>
    <row r="543" spans="4:8" ht="14.25" customHeight="1" x14ac:dyDescent="0.35">
      <c r="D543" s="26"/>
      <c r="F543" s="27"/>
      <c r="H543" s="27"/>
    </row>
    <row r="544" spans="4:8" ht="14.25" customHeight="1" x14ac:dyDescent="0.35">
      <c r="D544" s="26"/>
      <c r="F544" s="27"/>
      <c r="H544" s="27"/>
    </row>
    <row r="545" spans="4:8" ht="14.25" customHeight="1" x14ac:dyDescent="0.35">
      <c r="D545" s="26"/>
      <c r="F545" s="27"/>
      <c r="H545" s="27"/>
    </row>
    <row r="546" spans="4:8" ht="14.25" customHeight="1" x14ac:dyDescent="0.35">
      <c r="D546" s="26"/>
      <c r="F546" s="27"/>
      <c r="H546" s="27"/>
    </row>
    <row r="547" spans="4:8" ht="14.25" customHeight="1" x14ac:dyDescent="0.35">
      <c r="D547" s="26"/>
      <c r="F547" s="27"/>
      <c r="H547" s="27"/>
    </row>
    <row r="548" spans="4:8" ht="14.25" customHeight="1" x14ac:dyDescent="0.35">
      <c r="D548" s="26"/>
      <c r="F548" s="27"/>
      <c r="H548" s="27"/>
    </row>
    <row r="549" spans="4:8" ht="14.25" customHeight="1" x14ac:dyDescent="0.35">
      <c r="D549" s="26"/>
      <c r="F549" s="27"/>
      <c r="H549" s="27"/>
    </row>
    <row r="550" spans="4:8" ht="14.25" customHeight="1" x14ac:dyDescent="0.35">
      <c r="D550" s="26"/>
      <c r="F550" s="27"/>
      <c r="H550" s="27"/>
    </row>
    <row r="551" spans="4:8" ht="14.25" customHeight="1" x14ac:dyDescent="0.35">
      <c r="D551" s="26"/>
      <c r="F551" s="27"/>
      <c r="H551" s="27"/>
    </row>
    <row r="552" spans="4:8" ht="14.25" customHeight="1" x14ac:dyDescent="0.35">
      <c r="D552" s="26"/>
      <c r="F552" s="27"/>
      <c r="H552" s="27"/>
    </row>
    <row r="553" spans="4:8" ht="14.25" customHeight="1" x14ac:dyDescent="0.35">
      <c r="D553" s="26"/>
      <c r="F553" s="27"/>
      <c r="H553" s="27"/>
    </row>
    <row r="554" spans="4:8" ht="14.25" customHeight="1" x14ac:dyDescent="0.35">
      <c r="D554" s="26"/>
      <c r="F554" s="27"/>
      <c r="H554" s="27"/>
    </row>
    <row r="555" spans="4:8" ht="14.25" customHeight="1" x14ac:dyDescent="0.35">
      <c r="D555" s="26"/>
      <c r="F555" s="27"/>
      <c r="H555" s="27"/>
    </row>
    <row r="556" spans="4:8" ht="14.25" customHeight="1" x14ac:dyDescent="0.35">
      <c r="D556" s="26"/>
      <c r="F556" s="27"/>
      <c r="H556" s="27"/>
    </row>
    <row r="557" spans="4:8" ht="14.25" customHeight="1" x14ac:dyDescent="0.35">
      <c r="D557" s="26"/>
      <c r="F557" s="27"/>
      <c r="H557" s="27"/>
    </row>
    <row r="558" spans="4:8" ht="14.25" customHeight="1" x14ac:dyDescent="0.35">
      <c r="D558" s="26"/>
      <c r="F558" s="27"/>
      <c r="H558" s="27"/>
    </row>
    <row r="559" spans="4:8" ht="14.25" customHeight="1" x14ac:dyDescent="0.35">
      <c r="D559" s="26"/>
      <c r="F559" s="27"/>
      <c r="H559" s="27"/>
    </row>
    <row r="560" spans="4:8" ht="14.25" customHeight="1" x14ac:dyDescent="0.35">
      <c r="D560" s="26"/>
      <c r="F560" s="27"/>
      <c r="H560" s="27"/>
    </row>
    <row r="561" spans="4:8" ht="14.25" customHeight="1" x14ac:dyDescent="0.35">
      <c r="D561" s="26"/>
      <c r="F561" s="27"/>
      <c r="H561" s="27"/>
    </row>
    <row r="562" spans="4:8" ht="14.25" customHeight="1" x14ac:dyDescent="0.35">
      <c r="D562" s="26"/>
      <c r="F562" s="27"/>
      <c r="H562" s="27"/>
    </row>
    <row r="563" spans="4:8" ht="14.25" customHeight="1" x14ac:dyDescent="0.35">
      <c r="D563" s="26"/>
      <c r="F563" s="27"/>
      <c r="H563" s="27"/>
    </row>
    <row r="564" spans="4:8" ht="14.25" customHeight="1" x14ac:dyDescent="0.35">
      <c r="D564" s="26"/>
      <c r="F564" s="27"/>
      <c r="H564" s="27"/>
    </row>
    <row r="565" spans="4:8" ht="14.25" customHeight="1" x14ac:dyDescent="0.35">
      <c r="D565" s="26"/>
      <c r="F565" s="27"/>
      <c r="H565" s="27"/>
    </row>
    <row r="566" spans="4:8" ht="14.25" customHeight="1" x14ac:dyDescent="0.35">
      <c r="D566" s="26"/>
      <c r="F566" s="27"/>
      <c r="H566" s="27"/>
    </row>
    <row r="567" spans="4:8" ht="14.25" customHeight="1" x14ac:dyDescent="0.35">
      <c r="D567" s="26"/>
      <c r="F567" s="27"/>
      <c r="H567" s="27"/>
    </row>
    <row r="568" spans="4:8" ht="14.25" customHeight="1" x14ac:dyDescent="0.35">
      <c r="D568" s="26"/>
      <c r="F568" s="27"/>
      <c r="H568" s="27"/>
    </row>
    <row r="569" spans="4:8" ht="14.25" customHeight="1" x14ac:dyDescent="0.35">
      <c r="D569" s="26"/>
      <c r="F569" s="27"/>
      <c r="H569" s="27"/>
    </row>
    <row r="570" spans="4:8" ht="14.25" customHeight="1" x14ac:dyDescent="0.35">
      <c r="D570" s="26"/>
      <c r="F570" s="27"/>
      <c r="H570" s="27"/>
    </row>
    <row r="571" spans="4:8" ht="14.25" customHeight="1" x14ac:dyDescent="0.35">
      <c r="D571" s="26"/>
      <c r="F571" s="27"/>
      <c r="H571" s="27"/>
    </row>
    <row r="572" spans="4:8" ht="14.25" customHeight="1" x14ac:dyDescent="0.35">
      <c r="D572" s="26"/>
      <c r="F572" s="27"/>
      <c r="H572" s="27"/>
    </row>
    <row r="573" spans="4:8" ht="14.25" customHeight="1" x14ac:dyDescent="0.35">
      <c r="D573" s="26"/>
      <c r="F573" s="27"/>
      <c r="H573" s="27"/>
    </row>
    <row r="574" spans="4:8" ht="14.25" customHeight="1" x14ac:dyDescent="0.35">
      <c r="D574" s="26"/>
      <c r="F574" s="27"/>
      <c r="H574" s="27"/>
    </row>
    <row r="575" spans="4:8" ht="14.25" customHeight="1" x14ac:dyDescent="0.35">
      <c r="D575" s="26"/>
      <c r="F575" s="27"/>
      <c r="H575" s="27"/>
    </row>
    <row r="576" spans="4:8" ht="14.25" customHeight="1" x14ac:dyDescent="0.35">
      <c r="D576" s="26"/>
      <c r="F576" s="27"/>
      <c r="H576" s="27"/>
    </row>
    <row r="577" spans="4:8" ht="14.25" customHeight="1" x14ac:dyDescent="0.35">
      <c r="D577" s="26"/>
      <c r="F577" s="27"/>
      <c r="H577" s="27"/>
    </row>
    <row r="578" spans="4:8" ht="14.25" customHeight="1" x14ac:dyDescent="0.35">
      <c r="D578" s="26"/>
      <c r="F578" s="27"/>
      <c r="H578" s="27"/>
    </row>
    <row r="579" spans="4:8" ht="14.25" customHeight="1" x14ac:dyDescent="0.35">
      <c r="D579" s="26"/>
      <c r="F579" s="27"/>
      <c r="H579" s="27"/>
    </row>
    <row r="580" spans="4:8" ht="14.25" customHeight="1" x14ac:dyDescent="0.35">
      <c r="D580" s="26"/>
      <c r="F580" s="27"/>
      <c r="H580" s="27"/>
    </row>
    <row r="581" spans="4:8" ht="14.25" customHeight="1" x14ac:dyDescent="0.35">
      <c r="D581" s="26"/>
      <c r="F581" s="27"/>
      <c r="H581" s="27"/>
    </row>
    <row r="582" spans="4:8" ht="14.25" customHeight="1" x14ac:dyDescent="0.35">
      <c r="D582" s="26"/>
      <c r="F582" s="27"/>
      <c r="H582" s="27"/>
    </row>
    <row r="583" spans="4:8" ht="14.25" customHeight="1" x14ac:dyDescent="0.35">
      <c r="D583" s="26"/>
      <c r="F583" s="27"/>
      <c r="H583" s="27"/>
    </row>
    <row r="584" spans="4:8" ht="14.25" customHeight="1" x14ac:dyDescent="0.35">
      <c r="D584" s="26"/>
      <c r="F584" s="27"/>
      <c r="H584" s="27"/>
    </row>
    <row r="585" spans="4:8" ht="14.25" customHeight="1" x14ac:dyDescent="0.35">
      <c r="D585" s="26"/>
      <c r="F585" s="27"/>
      <c r="H585" s="27"/>
    </row>
    <row r="586" spans="4:8" ht="14.25" customHeight="1" x14ac:dyDescent="0.35">
      <c r="D586" s="26"/>
      <c r="F586" s="27"/>
      <c r="H586" s="27"/>
    </row>
    <row r="587" spans="4:8" ht="14.25" customHeight="1" x14ac:dyDescent="0.35">
      <c r="D587" s="26"/>
      <c r="F587" s="27"/>
      <c r="H587" s="27"/>
    </row>
    <row r="588" spans="4:8" ht="14.25" customHeight="1" x14ac:dyDescent="0.35">
      <c r="D588" s="26"/>
      <c r="F588" s="27"/>
      <c r="H588" s="27"/>
    </row>
    <row r="589" spans="4:8" ht="14.25" customHeight="1" x14ac:dyDescent="0.35">
      <c r="D589" s="26"/>
      <c r="F589" s="27"/>
      <c r="H589" s="27"/>
    </row>
    <row r="590" spans="4:8" ht="14.25" customHeight="1" x14ac:dyDescent="0.35">
      <c r="D590" s="26"/>
      <c r="F590" s="27"/>
      <c r="H590" s="27"/>
    </row>
    <row r="591" spans="4:8" ht="14.25" customHeight="1" x14ac:dyDescent="0.35">
      <c r="D591" s="26"/>
      <c r="F591" s="27"/>
      <c r="H591" s="27"/>
    </row>
    <row r="592" spans="4:8" ht="14.25" customHeight="1" x14ac:dyDescent="0.35">
      <c r="D592" s="26"/>
      <c r="F592" s="27"/>
      <c r="H592" s="27"/>
    </row>
    <row r="593" spans="4:8" ht="14.25" customHeight="1" x14ac:dyDescent="0.35">
      <c r="D593" s="26"/>
      <c r="F593" s="27"/>
      <c r="H593" s="27"/>
    </row>
    <row r="594" spans="4:8" ht="14.25" customHeight="1" x14ac:dyDescent="0.35">
      <c r="D594" s="26"/>
      <c r="F594" s="27"/>
      <c r="H594" s="27"/>
    </row>
    <row r="595" spans="4:8" ht="14.25" customHeight="1" x14ac:dyDescent="0.35">
      <c r="D595" s="26"/>
      <c r="F595" s="27"/>
      <c r="H595" s="27"/>
    </row>
    <row r="596" spans="4:8" ht="14.25" customHeight="1" x14ac:dyDescent="0.35">
      <c r="D596" s="26"/>
      <c r="F596" s="27"/>
      <c r="H596" s="27"/>
    </row>
    <row r="597" spans="4:8" ht="14.25" customHeight="1" x14ac:dyDescent="0.35">
      <c r="D597" s="26"/>
      <c r="F597" s="27"/>
      <c r="H597" s="27"/>
    </row>
    <row r="598" spans="4:8" ht="14.25" customHeight="1" x14ac:dyDescent="0.35">
      <c r="D598" s="26"/>
      <c r="F598" s="27"/>
      <c r="H598" s="27"/>
    </row>
    <row r="599" spans="4:8" ht="14.25" customHeight="1" x14ac:dyDescent="0.35">
      <c r="D599" s="26"/>
      <c r="F599" s="27"/>
      <c r="H599" s="27"/>
    </row>
    <row r="600" spans="4:8" ht="14.25" customHeight="1" x14ac:dyDescent="0.35">
      <c r="D600" s="26"/>
      <c r="F600" s="27"/>
      <c r="H600" s="27"/>
    </row>
    <row r="601" spans="4:8" ht="14.25" customHeight="1" x14ac:dyDescent="0.35">
      <c r="D601" s="26"/>
      <c r="F601" s="27"/>
      <c r="H601" s="27"/>
    </row>
    <row r="602" spans="4:8" ht="14.25" customHeight="1" x14ac:dyDescent="0.35">
      <c r="D602" s="26"/>
      <c r="F602" s="27"/>
      <c r="H602" s="27"/>
    </row>
    <row r="603" spans="4:8" ht="14.25" customHeight="1" x14ac:dyDescent="0.35">
      <c r="D603" s="26"/>
      <c r="F603" s="27"/>
      <c r="H603" s="27"/>
    </row>
    <row r="604" spans="4:8" ht="14.25" customHeight="1" x14ac:dyDescent="0.35">
      <c r="D604" s="26"/>
      <c r="F604" s="27"/>
      <c r="H604" s="27"/>
    </row>
    <row r="605" spans="4:8" ht="14.25" customHeight="1" x14ac:dyDescent="0.35">
      <c r="D605" s="26"/>
      <c r="F605" s="27"/>
      <c r="H605" s="27"/>
    </row>
    <row r="606" spans="4:8" ht="14.25" customHeight="1" x14ac:dyDescent="0.35">
      <c r="D606" s="26"/>
      <c r="F606" s="27"/>
      <c r="H606" s="27"/>
    </row>
    <row r="607" spans="4:8" ht="14.25" customHeight="1" x14ac:dyDescent="0.35">
      <c r="D607" s="26"/>
      <c r="F607" s="27"/>
      <c r="H607" s="27"/>
    </row>
    <row r="608" spans="4:8" ht="14.25" customHeight="1" x14ac:dyDescent="0.35">
      <c r="D608" s="26"/>
      <c r="F608" s="27"/>
      <c r="H608" s="27"/>
    </row>
    <row r="609" spans="4:8" ht="14.25" customHeight="1" x14ac:dyDescent="0.35">
      <c r="D609" s="26"/>
      <c r="F609" s="27"/>
      <c r="H609" s="27"/>
    </row>
    <row r="610" spans="4:8" ht="14.25" customHeight="1" x14ac:dyDescent="0.35">
      <c r="D610" s="26"/>
      <c r="F610" s="27"/>
      <c r="H610" s="27"/>
    </row>
    <row r="611" spans="4:8" ht="14.25" customHeight="1" x14ac:dyDescent="0.35">
      <c r="D611" s="26"/>
      <c r="F611" s="27"/>
      <c r="H611" s="27"/>
    </row>
    <row r="612" spans="4:8" ht="14.25" customHeight="1" x14ac:dyDescent="0.35">
      <c r="D612" s="26"/>
      <c r="F612" s="27"/>
      <c r="H612" s="27"/>
    </row>
    <row r="613" spans="4:8" ht="14.25" customHeight="1" x14ac:dyDescent="0.35">
      <c r="D613" s="26"/>
      <c r="F613" s="27"/>
      <c r="H613" s="27"/>
    </row>
    <row r="614" spans="4:8" ht="14.25" customHeight="1" x14ac:dyDescent="0.35">
      <c r="D614" s="26"/>
      <c r="F614" s="27"/>
      <c r="H614" s="27"/>
    </row>
    <row r="615" spans="4:8" ht="14.25" customHeight="1" x14ac:dyDescent="0.35">
      <c r="D615" s="26"/>
      <c r="F615" s="27"/>
      <c r="H615" s="27"/>
    </row>
    <row r="616" spans="4:8" ht="14.25" customHeight="1" x14ac:dyDescent="0.35">
      <c r="D616" s="26"/>
      <c r="F616" s="27"/>
      <c r="H616" s="27"/>
    </row>
    <row r="617" spans="4:8" ht="14.25" customHeight="1" x14ac:dyDescent="0.35">
      <c r="D617" s="26"/>
      <c r="F617" s="27"/>
      <c r="H617" s="27"/>
    </row>
    <row r="618" spans="4:8" ht="14.25" customHeight="1" x14ac:dyDescent="0.35">
      <c r="D618" s="26"/>
      <c r="F618" s="27"/>
      <c r="H618" s="27"/>
    </row>
    <row r="619" spans="4:8" ht="14.25" customHeight="1" x14ac:dyDescent="0.35">
      <c r="D619" s="26"/>
      <c r="F619" s="27"/>
      <c r="H619" s="27"/>
    </row>
    <row r="620" spans="4:8" ht="14.25" customHeight="1" x14ac:dyDescent="0.35">
      <c r="D620" s="26"/>
      <c r="F620" s="27"/>
      <c r="H620" s="27"/>
    </row>
    <row r="621" spans="4:8" ht="14.25" customHeight="1" x14ac:dyDescent="0.35">
      <c r="D621" s="26"/>
      <c r="F621" s="27"/>
      <c r="H621" s="27"/>
    </row>
    <row r="622" spans="4:8" ht="14.25" customHeight="1" x14ac:dyDescent="0.35">
      <c r="D622" s="26"/>
      <c r="F622" s="27"/>
      <c r="H622" s="27"/>
    </row>
    <row r="623" spans="4:8" ht="14.25" customHeight="1" x14ac:dyDescent="0.35">
      <c r="D623" s="26"/>
      <c r="F623" s="27"/>
      <c r="H623" s="27"/>
    </row>
    <row r="624" spans="4:8" ht="14.25" customHeight="1" x14ac:dyDescent="0.35">
      <c r="D624" s="26"/>
      <c r="F624" s="27"/>
      <c r="H624" s="27"/>
    </row>
    <row r="625" spans="4:8" ht="14.25" customHeight="1" x14ac:dyDescent="0.35">
      <c r="D625" s="26"/>
      <c r="F625" s="27"/>
      <c r="H625" s="27"/>
    </row>
    <row r="626" spans="4:8" ht="14.25" customHeight="1" x14ac:dyDescent="0.35">
      <c r="D626" s="26"/>
      <c r="F626" s="27"/>
      <c r="H626" s="27"/>
    </row>
    <row r="627" spans="4:8" ht="14.25" customHeight="1" x14ac:dyDescent="0.35">
      <c r="D627" s="26"/>
      <c r="F627" s="27"/>
      <c r="H627" s="27"/>
    </row>
    <row r="628" spans="4:8" ht="14.25" customHeight="1" x14ac:dyDescent="0.35">
      <c r="D628" s="26"/>
      <c r="F628" s="27"/>
      <c r="H628" s="27"/>
    </row>
    <row r="629" spans="4:8" ht="14.25" customHeight="1" x14ac:dyDescent="0.35">
      <c r="D629" s="26"/>
      <c r="F629" s="27"/>
      <c r="H629" s="27"/>
    </row>
    <row r="630" spans="4:8" ht="14.25" customHeight="1" x14ac:dyDescent="0.35">
      <c r="D630" s="26"/>
      <c r="F630" s="27"/>
      <c r="H630" s="27"/>
    </row>
    <row r="631" spans="4:8" ht="14.25" customHeight="1" x14ac:dyDescent="0.35">
      <c r="D631" s="26"/>
      <c r="F631" s="27"/>
      <c r="H631" s="27"/>
    </row>
    <row r="632" spans="4:8" ht="14.25" customHeight="1" x14ac:dyDescent="0.35">
      <c r="D632" s="26"/>
      <c r="F632" s="27"/>
      <c r="H632" s="27"/>
    </row>
    <row r="633" spans="4:8" ht="14.25" customHeight="1" x14ac:dyDescent="0.35">
      <c r="D633" s="26"/>
      <c r="F633" s="27"/>
      <c r="H633" s="27"/>
    </row>
    <row r="634" spans="4:8" ht="14.25" customHeight="1" x14ac:dyDescent="0.35">
      <c r="D634" s="26"/>
      <c r="F634" s="27"/>
      <c r="H634" s="27"/>
    </row>
    <row r="635" spans="4:8" ht="14.25" customHeight="1" x14ac:dyDescent="0.35">
      <c r="D635" s="26"/>
      <c r="F635" s="27"/>
      <c r="H635" s="27"/>
    </row>
    <row r="636" spans="4:8" ht="14.25" customHeight="1" x14ac:dyDescent="0.35">
      <c r="D636" s="26"/>
      <c r="F636" s="27"/>
      <c r="H636" s="27"/>
    </row>
    <row r="637" spans="4:8" ht="14.25" customHeight="1" x14ac:dyDescent="0.35">
      <c r="D637" s="26"/>
      <c r="F637" s="27"/>
      <c r="H637" s="27"/>
    </row>
    <row r="638" spans="4:8" ht="14.25" customHeight="1" x14ac:dyDescent="0.35">
      <c r="D638" s="26"/>
      <c r="F638" s="27"/>
      <c r="H638" s="27"/>
    </row>
    <row r="639" spans="4:8" ht="14.25" customHeight="1" x14ac:dyDescent="0.35">
      <c r="D639" s="26"/>
      <c r="F639" s="27"/>
      <c r="H639" s="27"/>
    </row>
    <row r="640" spans="4:8" ht="14.25" customHeight="1" x14ac:dyDescent="0.35">
      <c r="D640" s="26"/>
      <c r="F640" s="27"/>
      <c r="H640" s="27"/>
    </row>
    <row r="641" spans="4:8" ht="14.25" customHeight="1" x14ac:dyDescent="0.35">
      <c r="D641" s="26"/>
      <c r="F641" s="27"/>
      <c r="H641" s="27"/>
    </row>
    <row r="642" spans="4:8" ht="14.25" customHeight="1" x14ac:dyDescent="0.35">
      <c r="D642" s="26"/>
      <c r="F642" s="27"/>
      <c r="H642" s="27"/>
    </row>
    <row r="643" spans="4:8" ht="14.25" customHeight="1" x14ac:dyDescent="0.35">
      <c r="D643" s="26"/>
      <c r="F643" s="27"/>
      <c r="H643" s="27"/>
    </row>
    <row r="644" spans="4:8" ht="14.25" customHeight="1" x14ac:dyDescent="0.35">
      <c r="D644" s="26"/>
      <c r="F644" s="27"/>
      <c r="H644" s="27"/>
    </row>
    <row r="645" spans="4:8" ht="14.25" customHeight="1" x14ac:dyDescent="0.35">
      <c r="D645" s="26"/>
      <c r="F645" s="27"/>
      <c r="H645" s="27"/>
    </row>
    <row r="646" spans="4:8" ht="14.25" customHeight="1" x14ac:dyDescent="0.35">
      <c r="D646" s="26"/>
      <c r="F646" s="27"/>
      <c r="H646" s="27"/>
    </row>
    <row r="647" spans="4:8" ht="14.25" customHeight="1" x14ac:dyDescent="0.35">
      <c r="D647" s="26"/>
      <c r="F647" s="27"/>
      <c r="H647" s="27"/>
    </row>
    <row r="648" spans="4:8" ht="14.25" customHeight="1" x14ac:dyDescent="0.35">
      <c r="D648" s="26"/>
      <c r="F648" s="27"/>
      <c r="H648" s="27"/>
    </row>
    <row r="649" spans="4:8" ht="14.25" customHeight="1" x14ac:dyDescent="0.35">
      <c r="D649" s="26"/>
      <c r="F649" s="27"/>
      <c r="H649" s="27"/>
    </row>
    <row r="650" spans="4:8" ht="14.25" customHeight="1" x14ac:dyDescent="0.35">
      <c r="D650" s="26"/>
      <c r="F650" s="27"/>
      <c r="H650" s="27"/>
    </row>
    <row r="651" spans="4:8" ht="14.25" customHeight="1" x14ac:dyDescent="0.35">
      <c r="D651" s="26"/>
      <c r="F651" s="27"/>
      <c r="H651" s="27"/>
    </row>
    <row r="652" spans="4:8" ht="14.25" customHeight="1" x14ac:dyDescent="0.35">
      <c r="D652" s="26"/>
      <c r="F652" s="27"/>
      <c r="H652" s="27"/>
    </row>
    <row r="653" spans="4:8" ht="14.25" customHeight="1" x14ac:dyDescent="0.35">
      <c r="D653" s="26"/>
      <c r="F653" s="27"/>
      <c r="H653" s="27"/>
    </row>
    <row r="654" spans="4:8" ht="14.25" customHeight="1" x14ac:dyDescent="0.35">
      <c r="D654" s="26"/>
      <c r="F654" s="27"/>
      <c r="H654" s="27"/>
    </row>
    <row r="655" spans="4:8" ht="14.25" customHeight="1" x14ac:dyDescent="0.35">
      <c r="D655" s="26"/>
      <c r="F655" s="27"/>
      <c r="H655" s="27"/>
    </row>
    <row r="656" spans="4:8" ht="14.25" customHeight="1" x14ac:dyDescent="0.35">
      <c r="D656" s="26"/>
      <c r="F656" s="27"/>
      <c r="H656" s="27"/>
    </row>
    <row r="657" spans="4:8" ht="14.25" customHeight="1" x14ac:dyDescent="0.35">
      <c r="D657" s="26"/>
      <c r="F657" s="27"/>
      <c r="H657" s="27"/>
    </row>
    <row r="658" spans="4:8" ht="14.25" customHeight="1" x14ac:dyDescent="0.35">
      <c r="D658" s="26"/>
      <c r="F658" s="27"/>
      <c r="H658" s="27"/>
    </row>
    <row r="659" spans="4:8" ht="14.25" customHeight="1" x14ac:dyDescent="0.35">
      <c r="D659" s="26"/>
      <c r="F659" s="27"/>
      <c r="H659" s="27"/>
    </row>
    <row r="660" spans="4:8" ht="14.25" customHeight="1" x14ac:dyDescent="0.35">
      <c r="D660" s="26"/>
      <c r="F660" s="27"/>
      <c r="H660" s="27"/>
    </row>
    <row r="661" spans="4:8" ht="14.25" customHeight="1" x14ac:dyDescent="0.35">
      <c r="D661" s="26"/>
      <c r="F661" s="27"/>
      <c r="H661" s="27"/>
    </row>
    <row r="662" spans="4:8" ht="14.25" customHeight="1" x14ac:dyDescent="0.35">
      <c r="D662" s="26"/>
      <c r="F662" s="27"/>
      <c r="H662" s="27"/>
    </row>
    <row r="663" spans="4:8" ht="14.25" customHeight="1" x14ac:dyDescent="0.35">
      <c r="D663" s="26"/>
      <c r="F663" s="27"/>
      <c r="H663" s="27"/>
    </row>
    <row r="664" spans="4:8" ht="14.25" customHeight="1" x14ac:dyDescent="0.35">
      <c r="D664" s="26"/>
      <c r="F664" s="27"/>
      <c r="H664" s="27"/>
    </row>
    <row r="665" spans="4:8" ht="14.25" customHeight="1" x14ac:dyDescent="0.35">
      <c r="D665" s="26"/>
      <c r="F665" s="27"/>
      <c r="H665" s="27"/>
    </row>
    <row r="666" spans="4:8" ht="14.25" customHeight="1" x14ac:dyDescent="0.35">
      <c r="D666" s="26"/>
      <c r="F666" s="27"/>
      <c r="H666" s="27"/>
    </row>
    <row r="667" spans="4:8" ht="14.25" customHeight="1" x14ac:dyDescent="0.35">
      <c r="D667" s="26"/>
      <c r="F667" s="27"/>
      <c r="H667" s="27"/>
    </row>
    <row r="668" spans="4:8" ht="14.25" customHeight="1" x14ac:dyDescent="0.35">
      <c r="D668" s="26"/>
      <c r="F668" s="27"/>
      <c r="H668" s="27"/>
    </row>
    <row r="669" spans="4:8" ht="14.25" customHeight="1" x14ac:dyDescent="0.35">
      <c r="D669" s="26"/>
      <c r="F669" s="27"/>
      <c r="H669" s="27"/>
    </row>
    <row r="670" spans="4:8" ht="14.25" customHeight="1" x14ac:dyDescent="0.35">
      <c r="D670" s="26"/>
      <c r="F670" s="27"/>
      <c r="H670" s="27"/>
    </row>
    <row r="671" spans="4:8" ht="14.25" customHeight="1" x14ac:dyDescent="0.35">
      <c r="D671" s="26"/>
      <c r="F671" s="27"/>
      <c r="H671" s="27"/>
    </row>
    <row r="672" spans="4:8" ht="14.25" customHeight="1" x14ac:dyDescent="0.35">
      <c r="D672" s="26"/>
      <c r="F672" s="27"/>
      <c r="H672" s="27"/>
    </row>
    <row r="673" spans="4:8" ht="14.25" customHeight="1" x14ac:dyDescent="0.35">
      <c r="D673" s="26"/>
      <c r="F673" s="27"/>
      <c r="H673" s="27"/>
    </row>
    <row r="674" spans="4:8" ht="14.25" customHeight="1" x14ac:dyDescent="0.35">
      <c r="D674" s="26"/>
      <c r="F674" s="27"/>
      <c r="H674" s="27"/>
    </row>
    <row r="675" spans="4:8" ht="14.25" customHeight="1" x14ac:dyDescent="0.35">
      <c r="D675" s="26"/>
      <c r="F675" s="27"/>
      <c r="H675" s="27"/>
    </row>
    <row r="676" spans="4:8" ht="14.25" customHeight="1" x14ac:dyDescent="0.35">
      <c r="D676" s="26"/>
      <c r="F676" s="27"/>
      <c r="H676" s="27"/>
    </row>
    <row r="677" spans="4:8" ht="14.25" customHeight="1" x14ac:dyDescent="0.35">
      <c r="D677" s="26"/>
      <c r="F677" s="27"/>
      <c r="H677" s="27"/>
    </row>
    <row r="678" spans="4:8" ht="14.25" customHeight="1" x14ac:dyDescent="0.35">
      <c r="D678" s="26"/>
      <c r="F678" s="27"/>
      <c r="H678" s="27"/>
    </row>
    <row r="679" spans="4:8" ht="14.25" customHeight="1" x14ac:dyDescent="0.35">
      <c r="D679" s="26"/>
      <c r="F679" s="27"/>
      <c r="H679" s="27"/>
    </row>
    <row r="680" spans="4:8" ht="14.25" customHeight="1" x14ac:dyDescent="0.35">
      <c r="D680" s="26"/>
      <c r="F680" s="27"/>
      <c r="H680" s="27"/>
    </row>
    <row r="681" spans="4:8" ht="14.25" customHeight="1" x14ac:dyDescent="0.35">
      <c r="D681" s="26"/>
      <c r="F681" s="27"/>
      <c r="H681" s="27"/>
    </row>
    <row r="682" spans="4:8" ht="14.25" customHeight="1" x14ac:dyDescent="0.35">
      <c r="D682" s="26"/>
      <c r="F682" s="27"/>
      <c r="H682" s="27"/>
    </row>
    <row r="683" spans="4:8" ht="14.25" customHeight="1" x14ac:dyDescent="0.35">
      <c r="D683" s="26"/>
      <c r="F683" s="27"/>
      <c r="H683" s="27"/>
    </row>
    <row r="684" spans="4:8" ht="14.25" customHeight="1" x14ac:dyDescent="0.35">
      <c r="D684" s="26"/>
      <c r="F684" s="27"/>
      <c r="H684" s="27"/>
    </row>
    <row r="685" spans="4:8" ht="14.25" customHeight="1" x14ac:dyDescent="0.35">
      <c r="D685" s="26"/>
      <c r="F685" s="27"/>
      <c r="H685" s="27"/>
    </row>
    <row r="686" spans="4:8" ht="14.25" customHeight="1" x14ac:dyDescent="0.35">
      <c r="D686" s="26"/>
      <c r="F686" s="27"/>
      <c r="H686" s="27"/>
    </row>
    <row r="687" spans="4:8" ht="14.25" customHeight="1" x14ac:dyDescent="0.35">
      <c r="D687" s="26"/>
      <c r="F687" s="27"/>
      <c r="H687" s="27"/>
    </row>
    <row r="688" spans="4:8" ht="14.25" customHeight="1" x14ac:dyDescent="0.35">
      <c r="D688" s="26"/>
      <c r="F688" s="27"/>
      <c r="H688" s="27"/>
    </row>
    <row r="689" spans="4:8" ht="14.25" customHeight="1" x14ac:dyDescent="0.35">
      <c r="D689" s="26"/>
      <c r="F689" s="27"/>
      <c r="H689" s="27"/>
    </row>
    <row r="690" spans="4:8" ht="14.25" customHeight="1" x14ac:dyDescent="0.35">
      <c r="D690" s="26"/>
      <c r="F690" s="27"/>
      <c r="H690" s="27"/>
    </row>
    <row r="691" spans="4:8" ht="14.25" customHeight="1" x14ac:dyDescent="0.35">
      <c r="D691" s="26"/>
      <c r="F691" s="27"/>
      <c r="H691" s="27"/>
    </row>
    <row r="692" spans="4:8" ht="14.25" customHeight="1" x14ac:dyDescent="0.35">
      <c r="D692" s="26"/>
      <c r="F692" s="27"/>
      <c r="H692" s="27"/>
    </row>
    <row r="693" spans="4:8" ht="14.25" customHeight="1" x14ac:dyDescent="0.35">
      <c r="D693" s="26"/>
      <c r="F693" s="27"/>
      <c r="H693" s="27"/>
    </row>
    <row r="694" spans="4:8" ht="14.25" customHeight="1" x14ac:dyDescent="0.35">
      <c r="D694" s="26"/>
      <c r="F694" s="27"/>
      <c r="H694" s="27"/>
    </row>
    <row r="695" spans="4:8" ht="14.25" customHeight="1" x14ac:dyDescent="0.35">
      <c r="D695" s="26"/>
      <c r="F695" s="27"/>
      <c r="H695" s="27"/>
    </row>
    <row r="696" spans="4:8" ht="14.25" customHeight="1" x14ac:dyDescent="0.35">
      <c r="D696" s="26"/>
      <c r="F696" s="27"/>
      <c r="H696" s="27"/>
    </row>
    <row r="697" spans="4:8" ht="14.25" customHeight="1" x14ac:dyDescent="0.35">
      <c r="D697" s="26"/>
      <c r="F697" s="27"/>
      <c r="H697" s="27"/>
    </row>
    <row r="698" spans="4:8" ht="14.25" customHeight="1" x14ac:dyDescent="0.35">
      <c r="D698" s="26"/>
      <c r="F698" s="27"/>
      <c r="H698" s="27"/>
    </row>
    <row r="699" spans="4:8" ht="14.25" customHeight="1" x14ac:dyDescent="0.35">
      <c r="D699" s="26"/>
      <c r="F699" s="27"/>
      <c r="H699" s="27"/>
    </row>
    <row r="700" spans="4:8" ht="14.25" customHeight="1" x14ac:dyDescent="0.35">
      <c r="D700" s="26"/>
      <c r="F700" s="27"/>
      <c r="H700" s="27"/>
    </row>
    <row r="701" spans="4:8" ht="14.25" customHeight="1" x14ac:dyDescent="0.35">
      <c r="D701" s="26"/>
      <c r="F701" s="27"/>
      <c r="H701" s="27"/>
    </row>
    <row r="702" spans="4:8" ht="14.25" customHeight="1" x14ac:dyDescent="0.35">
      <c r="D702" s="26"/>
      <c r="F702" s="27"/>
      <c r="H702" s="27"/>
    </row>
    <row r="703" spans="4:8" ht="14.25" customHeight="1" x14ac:dyDescent="0.35">
      <c r="D703" s="26"/>
      <c r="F703" s="27"/>
      <c r="H703" s="27"/>
    </row>
    <row r="704" spans="4:8" ht="14.25" customHeight="1" x14ac:dyDescent="0.35">
      <c r="D704" s="26"/>
      <c r="F704" s="27"/>
      <c r="H704" s="27"/>
    </row>
    <row r="705" spans="4:8" ht="14.25" customHeight="1" x14ac:dyDescent="0.35">
      <c r="D705" s="26"/>
      <c r="F705" s="27"/>
      <c r="H705" s="27"/>
    </row>
    <row r="706" spans="4:8" ht="14.25" customHeight="1" x14ac:dyDescent="0.35">
      <c r="D706" s="26"/>
      <c r="F706" s="27"/>
      <c r="H706" s="27"/>
    </row>
    <row r="707" spans="4:8" ht="14.25" customHeight="1" x14ac:dyDescent="0.35">
      <c r="D707" s="26"/>
      <c r="F707" s="27"/>
      <c r="H707" s="27"/>
    </row>
    <row r="708" spans="4:8" ht="14.25" customHeight="1" x14ac:dyDescent="0.35">
      <c r="D708" s="26"/>
      <c r="F708" s="27"/>
      <c r="H708" s="27"/>
    </row>
    <row r="709" spans="4:8" ht="14.25" customHeight="1" x14ac:dyDescent="0.35">
      <c r="D709" s="26"/>
      <c r="F709" s="27"/>
      <c r="H709" s="27"/>
    </row>
    <row r="710" spans="4:8" ht="14.25" customHeight="1" x14ac:dyDescent="0.35">
      <c r="D710" s="26"/>
      <c r="F710" s="27"/>
      <c r="H710" s="27"/>
    </row>
    <row r="711" spans="4:8" ht="14.25" customHeight="1" x14ac:dyDescent="0.35">
      <c r="D711" s="26"/>
      <c r="F711" s="27"/>
      <c r="H711" s="27"/>
    </row>
    <row r="712" spans="4:8" ht="14.25" customHeight="1" x14ac:dyDescent="0.35">
      <c r="D712" s="26"/>
      <c r="F712" s="27"/>
      <c r="H712" s="27"/>
    </row>
    <row r="713" spans="4:8" ht="14.25" customHeight="1" x14ac:dyDescent="0.35">
      <c r="D713" s="26"/>
      <c r="F713" s="27"/>
      <c r="H713" s="27"/>
    </row>
    <row r="714" spans="4:8" ht="14.25" customHeight="1" x14ac:dyDescent="0.35">
      <c r="D714" s="26"/>
      <c r="F714" s="27"/>
      <c r="H714" s="27"/>
    </row>
    <row r="715" spans="4:8" ht="14.25" customHeight="1" x14ac:dyDescent="0.35">
      <c r="D715" s="26"/>
      <c r="F715" s="27"/>
      <c r="H715" s="27"/>
    </row>
    <row r="716" spans="4:8" ht="14.25" customHeight="1" x14ac:dyDescent="0.35">
      <c r="D716" s="26"/>
      <c r="F716" s="27"/>
      <c r="H716" s="27"/>
    </row>
    <row r="717" spans="4:8" ht="14.25" customHeight="1" x14ac:dyDescent="0.35">
      <c r="D717" s="26"/>
      <c r="F717" s="27"/>
      <c r="H717" s="27"/>
    </row>
    <row r="718" spans="4:8" ht="14.25" customHeight="1" x14ac:dyDescent="0.35">
      <c r="D718" s="26"/>
      <c r="F718" s="27"/>
      <c r="H718" s="27"/>
    </row>
    <row r="719" spans="4:8" ht="14.25" customHeight="1" x14ac:dyDescent="0.35">
      <c r="D719" s="26"/>
      <c r="F719" s="27"/>
      <c r="H719" s="27"/>
    </row>
    <row r="720" spans="4:8" ht="14.25" customHeight="1" x14ac:dyDescent="0.35">
      <c r="D720" s="26"/>
      <c r="F720" s="27"/>
      <c r="H720" s="27"/>
    </row>
    <row r="721" spans="4:8" ht="14.25" customHeight="1" x14ac:dyDescent="0.35">
      <c r="D721" s="26"/>
      <c r="F721" s="27"/>
      <c r="H721" s="27"/>
    </row>
    <row r="722" spans="4:8" ht="14.25" customHeight="1" x14ac:dyDescent="0.35">
      <c r="D722" s="26"/>
      <c r="F722" s="27"/>
      <c r="H722" s="27"/>
    </row>
    <row r="723" spans="4:8" ht="14.25" customHeight="1" x14ac:dyDescent="0.35">
      <c r="D723" s="26"/>
      <c r="F723" s="27"/>
      <c r="H723" s="27"/>
    </row>
    <row r="724" spans="4:8" ht="14.25" customHeight="1" x14ac:dyDescent="0.35">
      <c r="D724" s="26"/>
      <c r="F724" s="27"/>
      <c r="H724" s="27"/>
    </row>
    <row r="725" spans="4:8" ht="14.25" customHeight="1" x14ac:dyDescent="0.35">
      <c r="D725" s="26"/>
      <c r="F725" s="27"/>
      <c r="H725" s="27"/>
    </row>
    <row r="726" spans="4:8" ht="14.25" customHeight="1" x14ac:dyDescent="0.35">
      <c r="D726" s="26"/>
      <c r="F726" s="27"/>
      <c r="H726" s="27"/>
    </row>
    <row r="727" spans="4:8" ht="14.25" customHeight="1" x14ac:dyDescent="0.35">
      <c r="D727" s="26"/>
      <c r="F727" s="27"/>
      <c r="H727" s="27"/>
    </row>
    <row r="728" spans="4:8" ht="14.25" customHeight="1" x14ac:dyDescent="0.35">
      <c r="D728" s="26"/>
      <c r="F728" s="27"/>
      <c r="H728" s="27"/>
    </row>
    <row r="729" spans="4:8" ht="14.25" customHeight="1" x14ac:dyDescent="0.35">
      <c r="D729" s="26"/>
      <c r="F729" s="27"/>
      <c r="H729" s="27"/>
    </row>
    <row r="730" spans="4:8" ht="14.25" customHeight="1" x14ac:dyDescent="0.35">
      <c r="D730" s="26"/>
      <c r="F730" s="27"/>
      <c r="H730" s="27"/>
    </row>
    <row r="731" spans="4:8" ht="14.25" customHeight="1" x14ac:dyDescent="0.35">
      <c r="D731" s="26"/>
      <c r="F731" s="27"/>
      <c r="H731" s="27"/>
    </row>
    <row r="732" spans="4:8" ht="14.25" customHeight="1" x14ac:dyDescent="0.35">
      <c r="D732" s="26"/>
      <c r="F732" s="27"/>
      <c r="H732" s="27"/>
    </row>
    <row r="733" spans="4:8" ht="14.25" customHeight="1" x14ac:dyDescent="0.35">
      <c r="D733" s="26"/>
      <c r="F733" s="27"/>
      <c r="H733" s="27"/>
    </row>
    <row r="734" spans="4:8" ht="14.25" customHeight="1" x14ac:dyDescent="0.35">
      <c r="D734" s="26"/>
      <c r="F734" s="27"/>
      <c r="H734" s="27"/>
    </row>
    <row r="735" spans="4:8" ht="14.25" customHeight="1" x14ac:dyDescent="0.35">
      <c r="D735" s="26"/>
      <c r="F735" s="27"/>
      <c r="H735" s="27"/>
    </row>
    <row r="736" spans="4:8" ht="14.25" customHeight="1" x14ac:dyDescent="0.35">
      <c r="D736" s="26"/>
      <c r="F736" s="27"/>
      <c r="H736" s="27"/>
    </row>
    <row r="737" spans="4:8" ht="14.25" customHeight="1" x14ac:dyDescent="0.35">
      <c r="D737" s="26"/>
      <c r="F737" s="27"/>
      <c r="H737" s="27"/>
    </row>
    <row r="738" spans="4:8" ht="14.25" customHeight="1" x14ac:dyDescent="0.35">
      <c r="D738" s="26"/>
      <c r="F738" s="27"/>
      <c r="H738" s="27"/>
    </row>
    <row r="739" spans="4:8" ht="14.25" customHeight="1" x14ac:dyDescent="0.35">
      <c r="D739" s="26"/>
      <c r="F739" s="27"/>
      <c r="H739" s="27"/>
    </row>
    <row r="740" spans="4:8" ht="14.25" customHeight="1" x14ac:dyDescent="0.35">
      <c r="D740" s="26"/>
      <c r="F740" s="27"/>
      <c r="H740" s="27"/>
    </row>
    <row r="741" spans="4:8" ht="14.25" customHeight="1" x14ac:dyDescent="0.35">
      <c r="D741" s="26"/>
      <c r="F741" s="27"/>
      <c r="H741" s="27"/>
    </row>
    <row r="742" spans="4:8" ht="14.25" customHeight="1" x14ac:dyDescent="0.35">
      <c r="D742" s="26"/>
      <c r="F742" s="27"/>
      <c r="H742" s="27"/>
    </row>
    <row r="743" spans="4:8" ht="14.25" customHeight="1" x14ac:dyDescent="0.35">
      <c r="D743" s="26"/>
      <c r="F743" s="27"/>
      <c r="H743" s="27"/>
    </row>
    <row r="744" spans="4:8" ht="14.25" customHeight="1" x14ac:dyDescent="0.35">
      <c r="D744" s="26"/>
      <c r="F744" s="27"/>
      <c r="H744" s="27"/>
    </row>
    <row r="745" spans="4:8" ht="14.25" customHeight="1" x14ac:dyDescent="0.35">
      <c r="D745" s="26"/>
      <c r="F745" s="27"/>
      <c r="H745" s="27"/>
    </row>
    <row r="746" spans="4:8" ht="14.25" customHeight="1" x14ac:dyDescent="0.35">
      <c r="D746" s="26"/>
      <c r="F746" s="27"/>
      <c r="H746" s="27"/>
    </row>
    <row r="747" spans="4:8" ht="14.25" customHeight="1" x14ac:dyDescent="0.35">
      <c r="D747" s="26"/>
      <c r="F747" s="27"/>
      <c r="H747" s="27"/>
    </row>
    <row r="748" spans="4:8" ht="14.25" customHeight="1" x14ac:dyDescent="0.35">
      <c r="D748" s="26"/>
      <c r="F748" s="27"/>
      <c r="H748" s="27"/>
    </row>
    <row r="749" spans="4:8" ht="14.25" customHeight="1" x14ac:dyDescent="0.35">
      <c r="D749" s="26"/>
      <c r="F749" s="27"/>
      <c r="H749" s="27"/>
    </row>
    <row r="750" spans="4:8" ht="14.25" customHeight="1" x14ac:dyDescent="0.35">
      <c r="D750" s="26"/>
      <c r="F750" s="27"/>
      <c r="H750" s="27"/>
    </row>
    <row r="751" spans="4:8" ht="14.25" customHeight="1" x14ac:dyDescent="0.35">
      <c r="D751" s="26"/>
      <c r="F751" s="27"/>
      <c r="H751" s="27"/>
    </row>
    <row r="752" spans="4:8" ht="14.25" customHeight="1" x14ac:dyDescent="0.35">
      <c r="D752" s="26"/>
      <c r="F752" s="27"/>
      <c r="H752" s="27"/>
    </row>
    <row r="753" spans="4:8" ht="14.25" customHeight="1" x14ac:dyDescent="0.35">
      <c r="D753" s="26"/>
      <c r="F753" s="27"/>
      <c r="H753" s="27"/>
    </row>
    <row r="754" spans="4:8" ht="14.25" customHeight="1" x14ac:dyDescent="0.35">
      <c r="D754" s="26"/>
      <c r="F754" s="27"/>
      <c r="H754" s="27"/>
    </row>
    <row r="755" spans="4:8" ht="14.25" customHeight="1" x14ac:dyDescent="0.35">
      <c r="D755" s="26"/>
      <c r="F755" s="27"/>
      <c r="H755" s="27"/>
    </row>
    <row r="756" spans="4:8" ht="14.25" customHeight="1" x14ac:dyDescent="0.35">
      <c r="D756" s="26"/>
      <c r="F756" s="27"/>
      <c r="H756" s="27"/>
    </row>
    <row r="757" spans="4:8" ht="14.25" customHeight="1" x14ac:dyDescent="0.35">
      <c r="D757" s="26"/>
      <c r="F757" s="27"/>
      <c r="H757" s="27"/>
    </row>
    <row r="758" spans="4:8" ht="14.25" customHeight="1" x14ac:dyDescent="0.35">
      <c r="D758" s="26"/>
      <c r="F758" s="27"/>
      <c r="H758" s="27"/>
    </row>
    <row r="759" spans="4:8" ht="14.25" customHeight="1" x14ac:dyDescent="0.35">
      <c r="D759" s="26"/>
      <c r="F759" s="27"/>
      <c r="H759" s="27"/>
    </row>
    <row r="760" spans="4:8" ht="14.25" customHeight="1" x14ac:dyDescent="0.35">
      <c r="D760" s="26"/>
      <c r="F760" s="27"/>
      <c r="H760" s="27"/>
    </row>
    <row r="761" spans="4:8" ht="14.25" customHeight="1" x14ac:dyDescent="0.35">
      <c r="D761" s="26"/>
      <c r="F761" s="27"/>
      <c r="H761" s="27"/>
    </row>
    <row r="762" spans="4:8" ht="14.25" customHeight="1" x14ac:dyDescent="0.35">
      <c r="D762" s="26"/>
      <c r="F762" s="27"/>
      <c r="H762" s="27"/>
    </row>
    <row r="763" spans="4:8" ht="14.25" customHeight="1" x14ac:dyDescent="0.35">
      <c r="D763" s="26"/>
      <c r="F763" s="27"/>
      <c r="H763" s="27"/>
    </row>
    <row r="764" spans="4:8" ht="14.25" customHeight="1" x14ac:dyDescent="0.35">
      <c r="D764" s="26"/>
      <c r="F764" s="27"/>
      <c r="H764" s="27"/>
    </row>
    <row r="765" spans="4:8" ht="14.25" customHeight="1" x14ac:dyDescent="0.35">
      <c r="D765" s="26"/>
      <c r="F765" s="27"/>
      <c r="H765" s="27"/>
    </row>
    <row r="766" spans="4:8" ht="14.25" customHeight="1" x14ac:dyDescent="0.35">
      <c r="D766" s="26"/>
      <c r="F766" s="27"/>
      <c r="H766" s="27"/>
    </row>
    <row r="767" spans="4:8" ht="14.25" customHeight="1" x14ac:dyDescent="0.35">
      <c r="D767" s="26"/>
      <c r="F767" s="27"/>
      <c r="H767" s="27"/>
    </row>
    <row r="768" spans="4:8" ht="14.25" customHeight="1" x14ac:dyDescent="0.35">
      <c r="D768" s="26"/>
      <c r="F768" s="27"/>
      <c r="H768" s="27"/>
    </row>
    <row r="769" spans="4:8" ht="14.25" customHeight="1" x14ac:dyDescent="0.35">
      <c r="D769" s="26"/>
      <c r="F769" s="27"/>
      <c r="H769" s="27"/>
    </row>
    <row r="770" spans="4:8" ht="14.25" customHeight="1" x14ac:dyDescent="0.35">
      <c r="D770" s="26"/>
      <c r="F770" s="27"/>
      <c r="H770" s="27"/>
    </row>
    <row r="771" spans="4:8" ht="14.25" customHeight="1" x14ac:dyDescent="0.35">
      <c r="D771" s="26"/>
      <c r="F771" s="27"/>
      <c r="H771" s="27"/>
    </row>
    <row r="772" spans="4:8" ht="14.25" customHeight="1" x14ac:dyDescent="0.35">
      <c r="D772" s="26"/>
      <c r="F772" s="27"/>
      <c r="H772" s="27"/>
    </row>
    <row r="773" spans="4:8" ht="14.25" customHeight="1" x14ac:dyDescent="0.35">
      <c r="D773" s="26"/>
      <c r="F773" s="27"/>
      <c r="H773" s="27"/>
    </row>
    <row r="774" spans="4:8" ht="14.25" customHeight="1" x14ac:dyDescent="0.35">
      <c r="D774" s="26"/>
      <c r="F774" s="27"/>
      <c r="H774" s="27"/>
    </row>
    <row r="775" spans="4:8" ht="14.25" customHeight="1" x14ac:dyDescent="0.35">
      <c r="D775" s="26"/>
      <c r="F775" s="27"/>
      <c r="H775" s="27"/>
    </row>
    <row r="776" spans="4:8" ht="14.25" customHeight="1" x14ac:dyDescent="0.35">
      <c r="D776" s="26"/>
      <c r="F776" s="27"/>
      <c r="H776" s="27"/>
    </row>
    <row r="777" spans="4:8" ht="14.25" customHeight="1" x14ac:dyDescent="0.35">
      <c r="D777" s="26"/>
      <c r="F777" s="27"/>
      <c r="H777" s="27"/>
    </row>
    <row r="778" spans="4:8" ht="14.25" customHeight="1" x14ac:dyDescent="0.35">
      <c r="D778" s="26"/>
      <c r="F778" s="27"/>
      <c r="H778" s="27"/>
    </row>
    <row r="779" spans="4:8" ht="14.25" customHeight="1" x14ac:dyDescent="0.35">
      <c r="D779" s="26"/>
      <c r="F779" s="27"/>
      <c r="H779" s="27"/>
    </row>
    <row r="780" spans="4:8" ht="14.25" customHeight="1" x14ac:dyDescent="0.35">
      <c r="D780" s="26"/>
      <c r="F780" s="27"/>
      <c r="H780" s="27"/>
    </row>
    <row r="781" spans="4:8" ht="14.25" customHeight="1" x14ac:dyDescent="0.35">
      <c r="D781" s="26"/>
      <c r="F781" s="27"/>
      <c r="H781" s="27"/>
    </row>
    <row r="782" spans="4:8" ht="14.25" customHeight="1" x14ac:dyDescent="0.35">
      <c r="D782" s="26"/>
      <c r="F782" s="27"/>
      <c r="H782" s="27"/>
    </row>
    <row r="783" spans="4:8" ht="14.25" customHeight="1" x14ac:dyDescent="0.35">
      <c r="D783" s="26"/>
      <c r="F783" s="27"/>
      <c r="H783" s="27"/>
    </row>
    <row r="784" spans="4:8" ht="14.25" customHeight="1" x14ac:dyDescent="0.35">
      <c r="D784" s="26"/>
      <c r="F784" s="27"/>
      <c r="H784" s="27"/>
    </row>
    <row r="785" spans="4:8" ht="14.25" customHeight="1" x14ac:dyDescent="0.35">
      <c r="D785" s="26"/>
      <c r="F785" s="27"/>
      <c r="H785" s="27"/>
    </row>
    <row r="786" spans="4:8" ht="14.25" customHeight="1" x14ac:dyDescent="0.35">
      <c r="D786" s="26"/>
      <c r="F786" s="27"/>
      <c r="H786" s="27"/>
    </row>
    <row r="787" spans="4:8" ht="14.25" customHeight="1" x14ac:dyDescent="0.35">
      <c r="D787" s="26"/>
      <c r="F787" s="27"/>
      <c r="H787" s="27"/>
    </row>
    <row r="788" spans="4:8" ht="14.25" customHeight="1" x14ac:dyDescent="0.35">
      <c r="D788" s="26"/>
      <c r="F788" s="27"/>
      <c r="H788" s="27"/>
    </row>
    <row r="789" spans="4:8" ht="14.25" customHeight="1" x14ac:dyDescent="0.35">
      <c r="D789" s="26"/>
      <c r="F789" s="27"/>
      <c r="H789" s="27"/>
    </row>
    <row r="790" spans="4:8" ht="14.25" customHeight="1" x14ac:dyDescent="0.35">
      <c r="D790" s="26"/>
      <c r="F790" s="27"/>
      <c r="H790" s="27"/>
    </row>
    <row r="791" spans="4:8" ht="14.25" customHeight="1" x14ac:dyDescent="0.35">
      <c r="D791" s="26"/>
      <c r="F791" s="27"/>
      <c r="H791" s="27"/>
    </row>
    <row r="792" spans="4:8" ht="14.25" customHeight="1" x14ac:dyDescent="0.35">
      <c r="D792" s="26"/>
      <c r="F792" s="27"/>
      <c r="H792" s="27"/>
    </row>
    <row r="793" spans="4:8" ht="14.25" customHeight="1" x14ac:dyDescent="0.35">
      <c r="D793" s="26"/>
      <c r="F793" s="27"/>
      <c r="H793" s="27"/>
    </row>
    <row r="794" spans="4:8" ht="14.25" customHeight="1" x14ac:dyDescent="0.35">
      <c r="D794" s="26"/>
      <c r="F794" s="27"/>
      <c r="H794" s="27"/>
    </row>
    <row r="795" spans="4:8" ht="14.25" customHeight="1" x14ac:dyDescent="0.35">
      <c r="D795" s="26"/>
      <c r="F795" s="27"/>
      <c r="H795" s="27"/>
    </row>
    <row r="796" spans="4:8" ht="14.25" customHeight="1" x14ac:dyDescent="0.35">
      <c r="D796" s="26"/>
      <c r="F796" s="27"/>
      <c r="H796" s="27"/>
    </row>
    <row r="797" spans="4:8" ht="14.25" customHeight="1" x14ac:dyDescent="0.35">
      <c r="D797" s="26"/>
      <c r="F797" s="27"/>
      <c r="H797" s="27"/>
    </row>
    <row r="798" spans="4:8" ht="14.25" customHeight="1" x14ac:dyDescent="0.35">
      <c r="D798" s="26"/>
      <c r="F798" s="27"/>
      <c r="H798" s="27"/>
    </row>
    <row r="799" spans="4:8" ht="14.25" customHeight="1" x14ac:dyDescent="0.35">
      <c r="D799" s="26"/>
      <c r="F799" s="27"/>
      <c r="H799" s="27"/>
    </row>
    <row r="800" spans="4:8" ht="14.25" customHeight="1" x14ac:dyDescent="0.35">
      <c r="D800" s="26"/>
      <c r="F800" s="27"/>
      <c r="H800" s="27"/>
    </row>
    <row r="801" spans="4:8" ht="14.25" customHeight="1" x14ac:dyDescent="0.35">
      <c r="D801" s="26"/>
      <c r="F801" s="27"/>
      <c r="H801" s="27"/>
    </row>
    <row r="802" spans="4:8" ht="14.25" customHeight="1" x14ac:dyDescent="0.35">
      <c r="D802" s="26"/>
      <c r="F802" s="27"/>
      <c r="H802" s="27"/>
    </row>
    <row r="803" spans="4:8" ht="14.25" customHeight="1" x14ac:dyDescent="0.35">
      <c r="D803" s="26"/>
      <c r="F803" s="27"/>
      <c r="H803" s="27"/>
    </row>
    <row r="804" spans="4:8" ht="14.25" customHeight="1" x14ac:dyDescent="0.35">
      <c r="D804" s="26"/>
      <c r="F804" s="27"/>
      <c r="H804" s="27"/>
    </row>
    <row r="805" spans="4:8" ht="14.25" customHeight="1" x14ac:dyDescent="0.35">
      <c r="D805" s="26"/>
      <c r="F805" s="27"/>
      <c r="H805" s="27"/>
    </row>
    <row r="806" spans="4:8" ht="14.25" customHeight="1" x14ac:dyDescent="0.35">
      <c r="D806" s="26"/>
      <c r="F806" s="27"/>
      <c r="H806" s="27"/>
    </row>
    <row r="807" spans="4:8" ht="14.25" customHeight="1" x14ac:dyDescent="0.35">
      <c r="D807" s="26"/>
      <c r="F807" s="27"/>
      <c r="H807" s="27"/>
    </row>
    <row r="808" spans="4:8" ht="14.25" customHeight="1" x14ac:dyDescent="0.35">
      <c r="D808" s="26"/>
      <c r="F808" s="27"/>
      <c r="H808" s="27"/>
    </row>
    <row r="809" spans="4:8" ht="14.25" customHeight="1" x14ac:dyDescent="0.35">
      <c r="D809" s="26"/>
      <c r="F809" s="27"/>
      <c r="H809" s="27"/>
    </row>
    <row r="810" spans="4:8" ht="14.25" customHeight="1" x14ac:dyDescent="0.35">
      <c r="D810" s="26"/>
      <c r="F810" s="27"/>
      <c r="H810" s="27"/>
    </row>
    <row r="811" spans="4:8" ht="14.25" customHeight="1" x14ac:dyDescent="0.35">
      <c r="D811" s="26"/>
      <c r="F811" s="27"/>
      <c r="H811" s="27"/>
    </row>
    <row r="812" spans="4:8" ht="14.25" customHeight="1" x14ac:dyDescent="0.35">
      <c r="D812" s="26"/>
      <c r="F812" s="27"/>
      <c r="H812" s="27"/>
    </row>
    <row r="813" spans="4:8" ht="14.25" customHeight="1" x14ac:dyDescent="0.35">
      <c r="D813" s="26"/>
      <c r="F813" s="27"/>
      <c r="H813" s="27"/>
    </row>
    <row r="814" spans="4:8" ht="14.25" customHeight="1" x14ac:dyDescent="0.35">
      <c r="D814" s="26"/>
      <c r="F814" s="27"/>
      <c r="H814" s="27"/>
    </row>
    <row r="815" spans="4:8" ht="14.25" customHeight="1" x14ac:dyDescent="0.35">
      <c r="D815" s="26"/>
      <c r="F815" s="27"/>
      <c r="H815" s="27"/>
    </row>
    <row r="816" spans="4:8" ht="14.25" customHeight="1" x14ac:dyDescent="0.35">
      <c r="D816" s="26"/>
      <c r="F816" s="27"/>
      <c r="H816" s="27"/>
    </row>
    <row r="817" spans="4:8" ht="14.25" customHeight="1" x14ac:dyDescent="0.35">
      <c r="D817" s="26"/>
      <c r="F817" s="27"/>
      <c r="H817" s="27"/>
    </row>
    <row r="818" spans="4:8" ht="14.25" customHeight="1" x14ac:dyDescent="0.35">
      <c r="D818" s="26"/>
      <c r="F818" s="27"/>
      <c r="H818" s="27"/>
    </row>
    <row r="819" spans="4:8" ht="14.25" customHeight="1" x14ac:dyDescent="0.35">
      <c r="D819" s="26"/>
      <c r="F819" s="27"/>
      <c r="H819" s="27"/>
    </row>
    <row r="820" spans="4:8" ht="14.25" customHeight="1" x14ac:dyDescent="0.35">
      <c r="D820" s="26"/>
      <c r="F820" s="27"/>
      <c r="H820" s="27"/>
    </row>
    <row r="821" spans="4:8" ht="14.25" customHeight="1" x14ac:dyDescent="0.35">
      <c r="D821" s="26"/>
      <c r="F821" s="27"/>
      <c r="H821" s="27"/>
    </row>
    <row r="822" spans="4:8" ht="14.25" customHeight="1" x14ac:dyDescent="0.35">
      <c r="D822" s="26"/>
      <c r="F822" s="27"/>
      <c r="H822" s="27"/>
    </row>
    <row r="823" spans="4:8" ht="14.25" customHeight="1" x14ac:dyDescent="0.35">
      <c r="D823" s="26"/>
      <c r="F823" s="27"/>
      <c r="H823" s="27"/>
    </row>
    <row r="824" spans="4:8" ht="14.25" customHeight="1" x14ac:dyDescent="0.35">
      <c r="D824" s="26"/>
      <c r="F824" s="27"/>
      <c r="H824" s="27"/>
    </row>
    <row r="825" spans="4:8" ht="14.25" customHeight="1" x14ac:dyDescent="0.35">
      <c r="D825" s="26"/>
      <c r="F825" s="27"/>
      <c r="H825" s="27"/>
    </row>
    <row r="826" spans="4:8" ht="14.25" customHeight="1" x14ac:dyDescent="0.35">
      <c r="D826" s="26"/>
      <c r="F826" s="27"/>
      <c r="H826" s="27"/>
    </row>
    <row r="827" spans="4:8" ht="14.25" customHeight="1" x14ac:dyDescent="0.35">
      <c r="D827" s="26"/>
      <c r="F827" s="27"/>
      <c r="H827" s="27"/>
    </row>
    <row r="828" spans="4:8" ht="14.25" customHeight="1" x14ac:dyDescent="0.35">
      <c r="D828" s="26"/>
      <c r="F828" s="27"/>
      <c r="H828" s="27"/>
    </row>
    <row r="829" spans="4:8" ht="14.25" customHeight="1" x14ac:dyDescent="0.35">
      <c r="D829" s="26"/>
      <c r="F829" s="27"/>
      <c r="H829" s="27"/>
    </row>
    <row r="830" spans="4:8" ht="14.25" customHeight="1" x14ac:dyDescent="0.35">
      <c r="D830" s="26"/>
      <c r="F830" s="27"/>
      <c r="H830" s="27"/>
    </row>
    <row r="831" spans="4:8" ht="14.25" customHeight="1" x14ac:dyDescent="0.35">
      <c r="D831" s="26"/>
      <c r="F831" s="27"/>
      <c r="H831" s="27"/>
    </row>
    <row r="832" spans="4:8" ht="14.25" customHeight="1" x14ac:dyDescent="0.35">
      <c r="D832" s="26"/>
      <c r="F832" s="27"/>
      <c r="H832" s="27"/>
    </row>
    <row r="833" spans="4:8" ht="14.25" customHeight="1" x14ac:dyDescent="0.35">
      <c r="D833" s="26"/>
      <c r="F833" s="27"/>
      <c r="H833" s="27"/>
    </row>
    <row r="834" spans="4:8" ht="14.25" customHeight="1" x14ac:dyDescent="0.35">
      <c r="D834" s="26"/>
      <c r="F834" s="27"/>
      <c r="H834" s="27"/>
    </row>
    <row r="835" spans="4:8" ht="14.25" customHeight="1" x14ac:dyDescent="0.35">
      <c r="D835" s="26"/>
      <c r="F835" s="27"/>
      <c r="H835" s="27"/>
    </row>
    <row r="836" spans="4:8" ht="14.25" customHeight="1" x14ac:dyDescent="0.35">
      <c r="D836" s="26"/>
      <c r="F836" s="27"/>
      <c r="H836" s="27"/>
    </row>
    <row r="837" spans="4:8" ht="14.25" customHeight="1" x14ac:dyDescent="0.35">
      <c r="D837" s="26"/>
      <c r="F837" s="27"/>
      <c r="H837" s="27"/>
    </row>
    <row r="838" spans="4:8" ht="14.25" customHeight="1" x14ac:dyDescent="0.35">
      <c r="D838" s="26"/>
      <c r="F838" s="27"/>
      <c r="H838" s="27"/>
    </row>
    <row r="839" spans="4:8" ht="14.25" customHeight="1" x14ac:dyDescent="0.35">
      <c r="D839" s="26"/>
      <c r="F839" s="27"/>
      <c r="H839" s="27"/>
    </row>
    <row r="840" spans="4:8" ht="14.25" customHeight="1" x14ac:dyDescent="0.35">
      <c r="D840" s="26"/>
      <c r="F840" s="27"/>
      <c r="H840" s="27"/>
    </row>
    <row r="841" spans="4:8" ht="14.25" customHeight="1" x14ac:dyDescent="0.35">
      <c r="D841" s="26"/>
      <c r="F841" s="27"/>
      <c r="H841" s="27"/>
    </row>
    <row r="842" spans="4:8" ht="14.25" customHeight="1" x14ac:dyDescent="0.35">
      <c r="D842" s="26"/>
      <c r="F842" s="27"/>
      <c r="H842" s="27"/>
    </row>
    <row r="843" spans="4:8" ht="14.25" customHeight="1" x14ac:dyDescent="0.35">
      <c r="D843" s="26"/>
      <c r="F843" s="27"/>
      <c r="H843" s="27"/>
    </row>
    <row r="844" spans="4:8" ht="14.25" customHeight="1" x14ac:dyDescent="0.35">
      <c r="D844" s="26"/>
      <c r="F844" s="27"/>
      <c r="H844" s="27"/>
    </row>
    <row r="845" spans="4:8" ht="14.25" customHeight="1" x14ac:dyDescent="0.35">
      <c r="D845" s="26"/>
      <c r="F845" s="27"/>
      <c r="H845" s="27"/>
    </row>
    <row r="846" spans="4:8" ht="14.25" customHeight="1" x14ac:dyDescent="0.35">
      <c r="D846" s="26"/>
      <c r="F846" s="27"/>
      <c r="H846" s="27"/>
    </row>
    <row r="847" spans="4:8" ht="14.25" customHeight="1" x14ac:dyDescent="0.35">
      <c r="D847" s="26"/>
      <c r="F847" s="27"/>
      <c r="H847" s="27"/>
    </row>
    <row r="848" spans="4:8" ht="14.25" customHeight="1" x14ac:dyDescent="0.35">
      <c r="D848" s="26"/>
      <c r="F848" s="27"/>
      <c r="H848" s="27"/>
    </row>
    <row r="849" spans="4:8" ht="14.25" customHeight="1" x14ac:dyDescent="0.35">
      <c r="D849" s="26"/>
      <c r="F849" s="27"/>
      <c r="H849" s="27"/>
    </row>
    <row r="850" spans="4:8" ht="14.25" customHeight="1" x14ac:dyDescent="0.35">
      <c r="D850" s="26"/>
      <c r="F850" s="27"/>
      <c r="H850" s="27"/>
    </row>
    <row r="851" spans="4:8" ht="14.25" customHeight="1" x14ac:dyDescent="0.35">
      <c r="D851" s="26"/>
      <c r="F851" s="27"/>
      <c r="H851" s="27"/>
    </row>
    <row r="852" spans="4:8" ht="14.25" customHeight="1" x14ac:dyDescent="0.35">
      <c r="D852" s="26"/>
      <c r="F852" s="27"/>
      <c r="H852" s="27"/>
    </row>
    <row r="853" spans="4:8" ht="14.25" customHeight="1" x14ac:dyDescent="0.35">
      <c r="D853" s="26"/>
      <c r="F853" s="27"/>
      <c r="H853" s="27"/>
    </row>
    <row r="854" spans="4:8" ht="14.25" customHeight="1" x14ac:dyDescent="0.35">
      <c r="D854" s="26"/>
      <c r="F854" s="27"/>
      <c r="H854" s="27"/>
    </row>
    <row r="855" spans="4:8" ht="14.25" customHeight="1" x14ac:dyDescent="0.35">
      <c r="D855" s="26"/>
      <c r="F855" s="27"/>
      <c r="H855" s="27"/>
    </row>
    <row r="856" spans="4:8" ht="14.25" customHeight="1" x14ac:dyDescent="0.35">
      <c r="D856" s="26"/>
      <c r="F856" s="27"/>
      <c r="H856" s="27"/>
    </row>
    <row r="857" spans="4:8" ht="14.25" customHeight="1" x14ac:dyDescent="0.35">
      <c r="D857" s="26"/>
      <c r="F857" s="27"/>
      <c r="H857" s="27"/>
    </row>
    <row r="858" spans="4:8" ht="14.25" customHeight="1" x14ac:dyDescent="0.35">
      <c r="D858" s="26"/>
      <c r="F858" s="27"/>
      <c r="H858" s="27"/>
    </row>
    <row r="859" spans="4:8" ht="14.25" customHeight="1" x14ac:dyDescent="0.35">
      <c r="D859" s="26"/>
      <c r="F859" s="27"/>
      <c r="H859" s="27"/>
    </row>
    <row r="860" spans="4:8" ht="14.25" customHeight="1" x14ac:dyDescent="0.35">
      <c r="D860" s="26"/>
      <c r="F860" s="27"/>
      <c r="H860" s="27"/>
    </row>
    <row r="861" spans="4:8" ht="14.25" customHeight="1" x14ac:dyDescent="0.35">
      <c r="D861" s="26"/>
      <c r="F861" s="27"/>
      <c r="H861" s="27"/>
    </row>
    <row r="862" spans="4:8" ht="14.25" customHeight="1" x14ac:dyDescent="0.35">
      <c r="D862" s="26"/>
      <c r="F862" s="27"/>
      <c r="H862" s="27"/>
    </row>
    <row r="863" spans="4:8" ht="14.25" customHeight="1" x14ac:dyDescent="0.35">
      <c r="D863" s="26"/>
      <c r="F863" s="27"/>
      <c r="H863" s="27"/>
    </row>
    <row r="864" spans="4:8" ht="14.25" customHeight="1" x14ac:dyDescent="0.35">
      <c r="D864" s="26"/>
      <c r="F864" s="27"/>
      <c r="H864" s="27"/>
    </row>
    <row r="865" spans="4:8" ht="14.25" customHeight="1" x14ac:dyDescent="0.35">
      <c r="D865" s="26"/>
      <c r="F865" s="27"/>
      <c r="H865" s="27"/>
    </row>
    <row r="866" spans="4:8" ht="14.25" customHeight="1" x14ac:dyDescent="0.35">
      <c r="D866" s="26"/>
      <c r="F866" s="27"/>
      <c r="H866" s="27"/>
    </row>
    <row r="867" spans="4:8" ht="14.25" customHeight="1" x14ac:dyDescent="0.35">
      <c r="D867" s="26"/>
      <c r="F867" s="27"/>
      <c r="H867" s="27"/>
    </row>
    <row r="868" spans="4:8" ht="14.25" customHeight="1" x14ac:dyDescent="0.35">
      <c r="D868" s="26"/>
      <c r="F868" s="27"/>
      <c r="H868" s="27"/>
    </row>
    <row r="869" spans="4:8" ht="14.25" customHeight="1" x14ac:dyDescent="0.35">
      <c r="D869" s="26"/>
      <c r="F869" s="27"/>
      <c r="H869" s="27"/>
    </row>
    <row r="870" spans="4:8" ht="14.25" customHeight="1" x14ac:dyDescent="0.35">
      <c r="D870" s="26"/>
      <c r="F870" s="27"/>
      <c r="H870" s="27"/>
    </row>
    <row r="871" spans="4:8" ht="14.25" customHeight="1" x14ac:dyDescent="0.35">
      <c r="D871" s="26"/>
      <c r="F871" s="27"/>
      <c r="H871" s="27"/>
    </row>
    <row r="872" spans="4:8" ht="14.25" customHeight="1" x14ac:dyDescent="0.35">
      <c r="D872" s="26"/>
      <c r="F872" s="27"/>
      <c r="H872" s="27"/>
    </row>
    <row r="873" spans="4:8" ht="14.25" customHeight="1" x14ac:dyDescent="0.35">
      <c r="D873" s="26"/>
      <c r="F873" s="27"/>
      <c r="H873" s="27"/>
    </row>
    <row r="874" spans="4:8" ht="14.25" customHeight="1" x14ac:dyDescent="0.35">
      <c r="D874" s="26"/>
      <c r="F874" s="27"/>
      <c r="H874" s="27"/>
    </row>
    <row r="875" spans="4:8" ht="14.25" customHeight="1" x14ac:dyDescent="0.35">
      <c r="D875" s="26"/>
      <c r="F875" s="27"/>
      <c r="H875" s="27"/>
    </row>
    <row r="876" spans="4:8" ht="14.25" customHeight="1" x14ac:dyDescent="0.35">
      <c r="D876" s="26"/>
      <c r="F876" s="27"/>
      <c r="H876" s="27"/>
    </row>
    <row r="877" spans="4:8" ht="14.25" customHeight="1" x14ac:dyDescent="0.35">
      <c r="D877" s="26"/>
      <c r="F877" s="27"/>
      <c r="H877" s="27"/>
    </row>
    <row r="878" spans="4:8" ht="14.25" customHeight="1" x14ac:dyDescent="0.35">
      <c r="D878" s="26"/>
      <c r="F878" s="27"/>
      <c r="H878" s="27"/>
    </row>
    <row r="879" spans="4:8" ht="14.25" customHeight="1" x14ac:dyDescent="0.35">
      <c r="D879" s="26"/>
      <c r="F879" s="27"/>
      <c r="H879" s="27"/>
    </row>
    <row r="880" spans="4:8" ht="14.25" customHeight="1" x14ac:dyDescent="0.35">
      <c r="D880" s="26"/>
      <c r="F880" s="27"/>
      <c r="H880" s="27"/>
    </row>
    <row r="881" spans="4:8" ht="14.25" customHeight="1" x14ac:dyDescent="0.35">
      <c r="D881" s="26"/>
      <c r="F881" s="27"/>
      <c r="H881" s="27"/>
    </row>
    <row r="882" spans="4:8" ht="14.25" customHeight="1" x14ac:dyDescent="0.35">
      <c r="D882" s="26"/>
      <c r="F882" s="27"/>
      <c r="H882" s="27"/>
    </row>
    <row r="883" spans="4:8" ht="14.25" customHeight="1" x14ac:dyDescent="0.35">
      <c r="D883" s="26"/>
      <c r="F883" s="27"/>
      <c r="H883" s="27"/>
    </row>
    <row r="884" spans="4:8" ht="14.25" customHeight="1" x14ac:dyDescent="0.35">
      <c r="D884" s="26"/>
      <c r="F884" s="27"/>
      <c r="H884" s="27"/>
    </row>
    <row r="885" spans="4:8" ht="14.25" customHeight="1" x14ac:dyDescent="0.35">
      <c r="D885" s="26"/>
      <c r="F885" s="27"/>
      <c r="H885" s="27"/>
    </row>
    <row r="886" spans="4:8" ht="14.25" customHeight="1" x14ac:dyDescent="0.35">
      <c r="D886" s="26"/>
      <c r="F886" s="27"/>
      <c r="H886" s="27"/>
    </row>
    <row r="887" spans="4:8" ht="14.25" customHeight="1" x14ac:dyDescent="0.35">
      <c r="D887" s="26"/>
      <c r="F887" s="27"/>
      <c r="H887" s="27"/>
    </row>
    <row r="888" spans="4:8" ht="14.25" customHeight="1" x14ac:dyDescent="0.35">
      <c r="D888" s="26"/>
      <c r="F888" s="27"/>
      <c r="H888" s="27"/>
    </row>
    <row r="889" spans="4:8" ht="14.25" customHeight="1" x14ac:dyDescent="0.35">
      <c r="D889" s="26"/>
      <c r="F889" s="27"/>
      <c r="H889" s="27"/>
    </row>
    <row r="890" spans="4:8" ht="14.25" customHeight="1" x14ac:dyDescent="0.35">
      <c r="D890" s="26"/>
      <c r="F890" s="27"/>
      <c r="H890" s="27"/>
    </row>
    <row r="891" spans="4:8" ht="14.25" customHeight="1" x14ac:dyDescent="0.35">
      <c r="D891" s="26"/>
      <c r="F891" s="27"/>
      <c r="H891" s="27"/>
    </row>
    <row r="892" spans="4:8" ht="14.25" customHeight="1" x14ac:dyDescent="0.35">
      <c r="D892" s="26"/>
      <c r="F892" s="27"/>
      <c r="H892" s="27"/>
    </row>
    <row r="893" spans="4:8" ht="14.25" customHeight="1" x14ac:dyDescent="0.35">
      <c r="D893" s="26"/>
      <c r="F893" s="27"/>
      <c r="H893" s="27"/>
    </row>
    <row r="894" spans="4:8" ht="14.25" customHeight="1" x14ac:dyDescent="0.35">
      <c r="D894" s="26"/>
      <c r="F894" s="27"/>
      <c r="H894" s="27"/>
    </row>
    <row r="895" spans="4:8" ht="14.25" customHeight="1" x14ac:dyDescent="0.35">
      <c r="D895" s="26"/>
      <c r="F895" s="27"/>
      <c r="H895" s="27"/>
    </row>
    <row r="896" spans="4:8" ht="14.25" customHeight="1" x14ac:dyDescent="0.35">
      <c r="D896" s="26"/>
      <c r="F896" s="27"/>
      <c r="H896" s="27"/>
    </row>
    <row r="897" spans="4:8" ht="14.25" customHeight="1" x14ac:dyDescent="0.35">
      <c r="D897" s="26"/>
      <c r="F897" s="27"/>
      <c r="H897" s="27"/>
    </row>
    <row r="898" spans="4:8" ht="14.25" customHeight="1" x14ac:dyDescent="0.35">
      <c r="D898" s="26"/>
      <c r="F898" s="27"/>
      <c r="H898" s="27"/>
    </row>
    <row r="899" spans="4:8" ht="14.25" customHeight="1" x14ac:dyDescent="0.35">
      <c r="D899" s="26"/>
      <c r="F899" s="27"/>
      <c r="H899" s="27"/>
    </row>
    <row r="900" spans="4:8" ht="14.25" customHeight="1" x14ac:dyDescent="0.35">
      <c r="D900" s="26"/>
      <c r="F900" s="27"/>
      <c r="H900" s="27"/>
    </row>
    <row r="901" spans="4:8" ht="14.25" customHeight="1" x14ac:dyDescent="0.35">
      <c r="D901" s="26"/>
      <c r="F901" s="27"/>
      <c r="H901" s="27"/>
    </row>
    <row r="902" spans="4:8" ht="14.25" customHeight="1" x14ac:dyDescent="0.35">
      <c r="D902" s="26"/>
      <c r="F902" s="27"/>
      <c r="H902" s="27"/>
    </row>
    <row r="903" spans="4:8" ht="14.25" customHeight="1" x14ac:dyDescent="0.35">
      <c r="D903" s="26"/>
      <c r="F903" s="27"/>
      <c r="H903" s="27"/>
    </row>
    <row r="904" spans="4:8" ht="14.25" customHeight="1" x14ac:dyDescent="0.35">
      <c r="D904" s="26"/>
      <c r="F904" s="27"/>
      <c r="H904" s="27"/>
    </row>
    <row r="905" spans="4:8" ht="14.25" customHeight="1" x14ac:dyDescent="0.35">
      <c r="D905" s="26"/>
      <c r="F905" s="27"/>
      <c r="H905" s="27"/>
    </row>
    <row r="906" spans="4:8" ht="14.25" customHeight="1" x14ac:dyDescent="0.35">
      <c r="D906" s="26"/>
      <c r="F906" s="27"/>
      <c r="H906" s="27"/>
    </row>
    <row r="907" spans="4:8" ht="14.25" customHeight="1" x14ac:dyDescent="0.35">
      <c r="D907" s="26"/>
      <c r="F907" s="27"/>
      <c r="H907" s="27"/>
    </row>
    <row r="908" spans="4:8" ht="14.25" customHeight="1" x14ac:dyDescent="0.35">
      <c r="D908" s="26"/>
      <c r="F908" s="27"/>
      <c r="H908" s="27"/>
    </row>
    <row r="909" spans="4:8" ht="14.25" customHeight="1" x14ac:dyDescent="0.35">
      <c r="D909" s="26"/>
      <c r="F909" s="27"/>
      <c r="H909" s="27"/>
    </row>
    <row r="910" spans="4:8" ht="14.25" customHeight="1" x14ac:dyDescent="0.35">
      <c r="D910" s="26"/>
      <c r="F910" s="27"/>
      <c r="H910" s="27"/>
    </row>
    <row r="911" spans="4:8" ht="14.25" customHeight="1" x14ac:dyDescent="0.35">
      <c r="D911" s="26"/>
      <c r="F911" s="27"/>
      <c r="H911" s="27"/>
    </row>
    <row r="912" spans="4:8" ht="14.25" customHeight="1" x14ac:dyDescent="0.35">
      <c r="D912" s="26"/>
      <c r="F912" s="27"/>
      <c r="H912" s="27"/>
    </row>
    <row r="913" spans="4:8" ht="14.25" customHeight="1" x14ac:dyDescent="0.35">
      <c r="D913" s="26"/>
      <c r="F913" s="27"/>
      <c r="H913" s="27"/>
    </row>
    <row r="914" spans="4:8" ht="14.25" customHeight="1" x14ac:dyDescent="0.35">
      <c r="D914" s="26"/>
      <c r="F914" s="27"/>
      <c r="H914" s="27"/>
    </row>
    <row r="915" spans="4:8" ht="14.25" customHeight="1" x14ac:dyDescent="0.35">
      <c r="D915" s="26"/>
      <c r="F915" s="27"/>
      <c r="H915" s="27"/>
    </row>
    <row r="916" spans="4:8" ht="14.25" customHeight="1" x14ac:dyDescent="0.35">
      <c r="D916" s="26"/>
      <c r="F916" s="27"/>
      <c r="H916" s="27"/>
    </row>
    <row r="917" spans="4:8" ht="14.25" customHeight="1" x14ac:dyDescent="0.35">
      <c r="D917" s="26"/>
      <c r="F917" s="27"/>
      <c r="H917" s="27"/>
    </row>
    <row r="918" spans="4:8" ht="14.25" customHeight="1" x14ac:dyDescent="0.35">
      <c r="D918" s="26"/>
      <c r="F918" s="27"/>
      <c r="H918" s="27"/>
    </row>
    <row r="919" spans="4:8" ht="14.25" customHeight="1" x14ac:dyDescent="0.35">
      <c r="D919" s="26"/>
      <c r="F919" s="27"/>
      <c r="H919" s="27"/>
    </row>
    <row r="920" spans="4:8" ht="14.25" customHeight="1" x14ac:dyDescent="0.35">
      <c r="D920" s="26"/>
      <c r="F920" s="27"/>
      <c r="H920" s="27"/>
    </row>
    <row r="921" spans="4:8" ht="14.25" customHeight="1" x14ac:dyDescent="0.35">
      <c r="D921" s="26"/>
      <c r="F921" s="27"/>
      <c r="H921" s="27"/>
    </row>
    <row r="922" spans="4:8" ht="14.25" customHeight="1" x14ac:dyDescent="0.35">
      <c r="D922" s="26"/>
      <c r="F922" s="27"/>
      <c r="H922" s="27"/>
    </row>
    <row r="923" spans="4:8" ht="14.25" customHeight="1" x14ac:dyDescent="0.35">
      <c r="D923" s="26"/>
      <c r="F923" s="27"/>
      <c r="H923" s="27"/>
    </row>
    <row r="924" spans="4:8" ht="14.25" customHeight="1" x14ac:dyDescent="0.35">
      <c r="D924" s="26"/>
      <c r="F924" s="27"/>
      <c r="H924" s="27"/>
    </row>
    <row r="925" spans="4:8" ht="14.25" customHeight="1" x14ac:dyDescent="0.35">
      <c r="D925" s="26"/>
      <c r="F925" s="27"/>
      <c r="H925" s="27"/>
    </row>
    <row r="926" spans="4:8" ht="14.25" customHeight="1" x14ac:dyDescent="0.35">
      <c r="D926" s="26"/>
      <c r="F926" s="27"/>
      <c r="H926" s="27"/>
    </row>
    <row r="927" spans="4:8" ht="14.25" customHeight="1" x14ac:dyDescent="0.35">
      <c r="D927" s="26"/>
      <c r="F927" s="27"/>
      <c r="H927" s="27"/>
    </row>
    <row r="928" spans="4:8" ht="14.25" customHeight="1" x14ac:dyDescent="0.35">
      <c r="D928" s="26"/>
      <c r="F928" s="27"/>
      <c r="H928" s="27"/>
    </row>
    <row r="929" spans="4:8" ht="14.25" customHeight="1" x14ac:dyDescent="0.35">
      <c r="D929" s="26"/>
      <c r="F929" s="27"/>
      <c r="H929" s="27"/>
    </row>
    <row r="930" spans="4:8" ht="14.25" customHeight="1" x14ac:dyDescent="0.35">
      <c r="D930" s="26"/>
      <c r="F930" s="27"/>
      <c r="H930" s="27"/>
    </row>
    <row r="931" spans="4:8" ht="14.25" customHeight="1" x14ac:dyDescent="0.35">
      <c r="D931" s="26"/>
      <c r="F931" s="27"/>
      <c r="H931" s="27"/>
    </row>
    <row r="932" spans="4:8" ht="14.25" customHeight="1" x14ac:dyDescent="0.35">
      <c r="D932" s="26"/>
      <c r="F932" s="27"/>
      <c r="H932" s="27"/>
    </row>
    <row r="933" spans="4:8" ht="14.25" customHeight="1" x14ac:dyDescent="0.35">
      <c r="D933" s="26"/>
      <c r="F933" s="27"/>
      <c r="H933" s="27"/>
    </row>
    <row r="934" spans="4:8" ht="14.25" customHeight="1" x14ac:dyDescent="0.35">
      <c r="D934" s="26"/>
      <c r="F934" s="27"/>
      <c r="H934" s="27"/>
    </row>
    <row r="935" spans="4:8" ht="14.25" customHeight="1" x14ac:dyDescent="0.35">
      <c r="D935" s="26"/>
      <c r="F935" s="27"/>
      <c r="H935" s="27"/>
    </row>
    <row r="936" spans="4:8" ht="14.25" customHeight="1" x14ac:dyDescent="0.35">
      <c r="D936" s="26"/>
      <c r="F936" s="27"/>
      <c r="H936" s="27"/>
    </row>
    <row r="937" spans="4:8" ht="14.25" customHeight="1" x14ac:dyDescent="0.35">
      <c r="D937" s="26"/>
      <c r="F937" s="27"/>
      <c r="H937" s="27"/>
    </row>
    <row r="938" spans="4:8" ht="14.25" customHeight="1" x14ac:dyDescent="0.35">
      <c r="D938" s="26"/>
      <c r="F938" s="27"/>
      <c r="H938" s="27"/>
    </row>
    <row r="939" spans="4:8" ht="14.25" customHeight="1" x14ac:dyDescent="0.35">
      <c r="D939" s="26"/>
      <c r="F939" s="27"/>
      <c r="H939" s="27"/>
    </row>
    <row r="940" spans="4:8" ht="14.25" customHeight="1" x14ac:dyDescent="0.35">
      <c r="D940" s="26"/>
      <c r="F940" s="27"/>
      <c r="H940" s="27"/>
    </row>
    <row r="941" spans="4:8" ht="14.25" customHeight="1" x14ac:dyDescent="0.35">
      <c r="D941" s="26"/>
      <c r="F941" s="27"/>
      <c r="H941" s="27"/>
    </row>
    <row r="942" spans="4:8" ht="14.25" customHeight="1" x14ac:dyDescent="0.35">
      <c r="D942" s="26"/>
      <c r="F942" s="27"/>
      <c r="H942" s="27"/>
    </row>
    <row r="943" spans="4:8" ht="14.25" customHeight="1" x14ac:dyDescent="0.35">
      <c r="D943" s="26"/>
      <c r="F943" s="27"/>
      <c r="H943" s="27"/>
    </row>
    <row r="944" spans="4:8" ht="14.25" customHeight="1" x14ac:dyDescent="0.35">
      <c r="D944" s="26"/>
      <c r="F944" s="27"/>
      <c r="H944" s="27"/>
    </row>
    <row r="945" spans="4:8" ht="14.25" customHeight="1" x14ac:dyDescent="0.35">
      <c r="D945" s="26"/>
      <c r="F945" s="27"/>
      <c r="H945" s="27"/>
    </row>
    <row r="946" spans="4:8" ht="14.25" customHeight="1" x14ac:dyDescent="0.35">
      <c r="D946" s="26"/>
      <c r="F946" s="27"/>
      <c r="H946" s="27"/>
    </row>
    <row r="947" spans="4:8" ht="14.25" customHeight="1" x14ac:dyDescent="0.35">
      <c r="D947" s="26"/>
      <c r="F947" s="27"/>
      <c r="H947" s="27"/>
    </row>
    <row r="948" spans="4:8" ht="14.25" customHeight="1" x14ac:dyDescent="0.35">
      <c r="D948" s="26"/>
      <c r="F948" s="27"/>
      <c r="H948" s="27"/>
    </row>
    <row r="949" spans="4:8" ht="14.25" customHeight="1" x14ac:dyDescent="0.35">
      <c r="D949" s="26"/>
      <c r="F949" s="27"/>
      <c r="H949" s="27"/>
    </row>
    <row r="950" spans="4:8" ht="14.25" customHeight="1" x14ac:dyDescent="0.35">
      <c r="D950" s="26"/>
      <c r="F950" s="27"/>
      <c r="H950" s="27"/>
    </row>
    <row r="951" spans="4:8" ht="14.25" customHeight="1" x14ac:dyDescent="0.35">
      <c r="D951" s="26"/>
      <c r="F951" s="27"/>
      <c r="H951" s="27"/>
    </row>
    <row r="952" spans="4:8" ht="14.25" customHeight="1" x14ac:dyDescent="0.35">
      <c r="D952" s="26"/>
      <c r="F952" s="27"/>
      <c r="H952" s="27"/>
    </row>
    <row r="953" spans="4:8" ht="14.25" customHeight="1" x14ac:dyDescent="0.35">
      <c r="D953" s="26"/>
      <c r="F953" s="27"/>
      <c r="H953" s="27"/>
    </row>
    <row r="954" spans="4:8" ht="14.25" customHeight="1" x14ac:dyDescent="0.35">
      <c r="D954" s="26"/>
      <c r="F954" s="27"/>
      <c r="H954" s="27"/>
    </row>
    <row r="955" spans="4:8" ht="14.25" customHeight="1" x14ac:dyDescent="0.35">
      <c r="D955" s="26"/>
      <c r="F955" s="27"/>
      <c r="H955" s="27"/>
    </row>
    <row r="956" spans="4:8" ht="14.25" customHeight="1" x14ac:dyDescent="0.35">
      <c r="D956" s="26"/>
      <c r="F956" s="27"/>
      <c r="H956" s="27"/>
    </row>
    <row r="957" spans="4:8" ht="14.25" customHeight="1" x14ac:dyDescent="0.35">
      <c r="D957" s="26"/>
      <c r="F957" s="27"/>
      <c r="H957" s="27"/>
    </row>
    <row r="958" spans="4:8" ht="14.25" customHeight="1" x14ac:dyDescent="0.35">
      <c r="D958" s="26"/>
      <c r="F958" s="27"/>
      <c r="H958" s="27"/>
    </row>
    <row r="959" spans="4:8" ht="14.25" customHeight="1" x14ac:dyDescent="0.35">
      <c r="D959" s="26"/>
      <c r="F959" s="27"/>
      <c r="H959" s="27"/>
    </row>
    <row r="960" spans="4:8" ht="14.25" customHeight="1" x14ac:dyDescent="0.35">
      <c r="D960" s="26"/>
      <c r="F960" s="27"/>
      <c r="H960" s="27"/>
    </row>
    <row r="961" spans="4:8" ht="14.25" customHeight="1" x14ac:dyDescent="0.35">
      <c r="D961" s="26"/>
      <c r="F961" s="27"/>
      <c r="H961" s="27"/>
    </row>
    <row r="962" spans="4:8" ht="14.25" customHeight="1" x14ac:dyDescent="0.35">
      <c r="D962" s="26"/>
      <c r="F962" s="27"/>
      <c r="H962" s="27"/>
    </row>
    <row r="963" spans="4:8" ht="14.25" customHeight="1" x14ac:dyDescent="0.35">
      <c r="D963" s="26"/>
      <c r="F963" s="27"/>
      <c r="H963" s="27"/>
    </row>
    <row r="964" spans="4:8" ht="14.25" customHeight="1" x14ac:dyDescent="0.35">
      <c r="D964" s="26"/>
      <c r="F964" s="27"/>
      <c r="H964" s="27"/>
    </row>
    <row r="965" spans="4:8" ht="14.25" customHeight="1" x14ac:dyDescent="0.35">
      <c r="D965" s="26"/>
      <c r="F965" s="27"/>
      <c r="H965" s="27"/>
    </row>
    <row r="966" spans="4:8" ht="14.25" customHeight="1" x14ac:dyDescent="0.35">
      <c r="D966" s="26"/>
      <c r="F966" s="27"/>
      <c r="H966" s="27"/>
    </row>
    <row r="967" spans="4:8" ht="14.25" customHeight="1" x14ac:dyDescent="0.35">
      <c r="D967" s="26"/>
      <c r="F967" s="27"/>
      <c r="H967" s="27"/>
    </row>
    <row r="968" spans="4:8" ht="14.25" customHeight="1" x14ac:dyDescent="0.35">
      <c r="D968" s="26"/>
      <c r="F968" s="27"/>
      <c r="H968" s="27"/>
    </row>
    <row r="969" spans="4:8" ht="14.25" customHeight="1" x14ac:dyDescent="0.35">
      <c r="D969" s="26"/>
      <c r="F969" s="27"/>
      <c r="H969" s="27"/>
    </row>
    <row r="970" spans="4:8" ht="14.25" customHeight="1" x14ac:dyDescent="0.35">
      <c r="D970" s="26"/>
      <c r="F970" s="27"/>
      <c r="H970" s="27"/>
    </row>
    <row r="971" spans="4:8" ht="14.25" customHeight="1" x14ac:dyDescent="0.35">
      <c r="D971" s="26"/>
      <c r="F971" s="27"/>
      <c r="H971" s="27"/>
    </row>
    <row r="972" spans="4:8" ht="14.25" customHeight="1" x14ac:dyDescent="0.35">
      <c r="D972" s="26"/>
      <c r="F972" s="27"/>
      <c r="H972" s="27"/>
    </row>
    <row r="973" spans="4:8" ht="14.25" customHeight="1" x14ac:dyDescent="0.35">
      <c r="D973" s="26"/>
      <c r="F973" s="27"/>
      <c r="H973" s="27"/>
    </row>
    <row r="974" spans="4:8" ht="14.25" customHeight="1" x14ac:dyDescent="0.35">
      <c r="D974" s="26"/>
      <c r="F974" s="27"/>
      <c r="H974" s="27"/>
    </row>
    <row r="975" spans="4:8" ht="14.25" customHeight="1" x14ac:dyDescent="0.35">
      <c r="D975" s="26"/>
      <c r="F975" s="27"/>
      <c r="H975" s="27"/>
    </row>
    <row r="976" spans="4:8" ht="14.25" customHeight="1" x14ac:dyDescent="0.35">
      <c r="D976" s="26"/>
      <c r="F976" s="27"/>
      <c r="H976" s="27"/>
    </row>
    <row r="977" spans="4:8" ht="14.25" customHeight="1" x14ac:dyDescent="0.35">
      <c r="D977" s="26"/>
      <c r="F977" s="27"/>
      <c r="H977" s="27"/>
    </row>
    <row r="978" spans="4:8" ht="14.25" customHeight="1" x14ac:dyDescent="0.35">
      <c r="D978" s="26"/>
      <c r="F978" s="27"/>
      <c r="H978" s="27"/>
    </row>
    <row r="979" spans="4:8" ht="14.25" customHeight="1" x14ac:dyDescent="0.35">
      <c r="D979" s="26"/>
      <c r="F979" s="27"/>
      <c r="H979" s="27"/>
    </row>
    <row r="980" spans="4:8" ht="14.25" customHeight="1" x14ac:dyDescent="0.35">
      <c r="D980" s="26"/>
      <c r="F980" s="27"/>
      <c r="H980" s="27"/>
    </row>
    <row r="981" spans="4:8" ht="14.25" customHeight="1" x14ac:dyDescent="0.35">
      <c r="D981" s="26"/>
      <c r="F981" s="27"/>
      <c r="H981" s="27"/>
    </row>
    <row r="982" spans="4:8" ht="14.25" customHeight="1" x14ac:dyDescent="0.35">
      <c r="D982" s="26"/>
      <c r="F982" s="27"/>
      <c r="H982" s="27"/>
    </row>
    <row r="983" spans="4:8" ht="14.25" customHeight="1" x14ac:dyDescent="0.35">
      <c r="D983" s="26"/>
      <c r="F983" s="27"/>
      <c r="H983" s="27"/>
    </row>
    <row r="984" spans="4:8" ht="14.25" customHeight="1" x14ac:dyDescent="0.35">
      <c r="D984" s="26"/>
      <c r="F984" s="27"/>
      <c r="H984" s="27"/>
    </row>
    <row r="985" spans="4:8" ht="14.25" customHeight="1" x14ac:dyDescent="0.35">
      <c r="D985" s="26"/>
      <c r="F985" s="27"/>
      <c r="H985" s="27"/>
    </row>
    <row r="986" spans="4:8" ht="14.25" customHeight="1" x14ac:dyDescent="0.35">
      <c r="D986" s="26"/>
      <c r="F986" s="27"/>
      <c r="H986" s="27"/>
    </row>
    <row r="987" spans="4:8" ht="14.25" customHeight="1" x14ac:dyDescent="0.35">
      <c r="D987" s="26"/>
      <c r="F987" s="27"/>
      <c r="H987" s="27"/>
    </row>
    <row r="988" spans="4:8" ht="14.25" customHeight="1" x14ac:dyDescent="0.35">
      <c r="D988" s="26"/>
      <c r="F988" s="27"/>
      <c r="H988" s="27"/>
    </row>
    <row r="989" spans="4:8" ht="14.25" customHeight="1" x14ac:dyDescent="0.35">
      <c r="D989" s="26"/>
      <c r="F989" s="27"/>
      <c r="H989" s="27"/>
    </row>
    <row r="990" spans="4:8" ht="14.25" customHeight="1" x14ac:dyDescent="0.35">
      <c r="D990" s="26"/>
      <c r="F990" s="27"/>
      <c r="H990" s="27"/>
    </row>
    <row r="991" spans="4:8" ht="14.25" customHeight="1" x14ac:dyDescent="0.35">
      <c r="D991" s="26"/>
      <c r="F991" s="27"/>
      <c r="H991" s="27"/>
    </row>
    <row r="992" spans="4:8" ht="14.25" customHeight="1" x14ac:dyDescent="0.35">
      <c r="D992" s="26"/>
      <c r="F992" s="27"/>
      <c r="H992" s="27"/>
    </row>
    <row r="993" spans="4:8" ht="14.25" customHeight="1" x14ac:dyDescent="0.35">
      <c r="D993" s="26"/>
      <c r="F993" s="27"/>
      <c r="H993" s="27"/>
    </row>
    <row r="994" spans="4:8" ht="14.25" customHeight="1" x14ac:dyDescent="0.35">
      <c r="D994" s="26"/>
      <c r="F994" s="27"/>
      <c r="H994" s="27"/>
    </row>
    <row r="995" spans="4:8" ht="14.25" customHeight="1" x14ac:dyDescent="0.35">
      <c r="D995" s="26"/>
      <c r="F995" s="27"/>
      <c r="H995" s="27"/>
    </row>
    <row r="996" spans="4:8" ht="14.25" customHeight="1" x14ac:dyDescent="0.35">
      <c r="D996" s="26"/>
      <c r="F996" s="27"/>
      <c r="H996" s="27"/>
    </row>
    <row r="997" spans="4:8" ht="14.25" customHeight="1" x14ac:dyDescent="0.35">
      <c r="D997" s="26"/>
      <c r="F997" s="27"/>
      <c r="H997" s="27"/>
    </row>
    <row r="998" spans="4:8" ht="14.25" customHeight="1" x14ac:dyDescent="0.35">
      <c r="D998" s="26"/>
      <c r="F998" s="27"/>
      <c r="H998" s="27"/>
    </row>
    <row r="999" spans="4:8" ht="14.25" customHeight="1" x14ac:dyDescent="0.35">
      <c r="D999" s="26"/>
      <c r="F999" s="27"/>
      <c r="H999" s="27"/>
    </row>
    <row r="1000" spans="4:8" ht="14.25" customHeight="1" x14ac:dyDescent="0.35">
      <c r="D1000" s="26"/>
      <c r="F1000" s="27"/>
      <c r="H1000" s="27"/>
    </row>
  </sheetData>
  <hyperlinks>
    <hyperlink ref="D2" r:id="rId1" xr:uid="{00000000-0004-0000-0100-000000000000}"/>
    <hyperlink ref="E2" r:id="rId2" xr:uid="{00000000-0004-0000-0100-000001000000}"/>
    <hyperlink ref="D3" r:id="rId3" xr:uid="{00000000-0004-0000-0100-000002000000}"/>
    <hyperlink ref="D5" r:id="rId4" xr:uid="{00000000-0004-0000-0100-000003000000}"/>
    <hyperlink ref="D13" r:id="rId5" xr:uid="{00000000-0004-0000-0100-000004000000}"/>
    <hyperlink ref="D14" r:id="rId6" xr:uid="{00000000-0004-0000-0100-000005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Breakdown</vt:lpstr>
      <vt:lpstr>Copy of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Florence Liang</cp:lastModifiedBy>
  <dcterms:modified xsi:type="dcterms:W3CDTF">2025-12-26T23:52:21Z</dcterms:modified>
</cp:coreProperties>
</file>